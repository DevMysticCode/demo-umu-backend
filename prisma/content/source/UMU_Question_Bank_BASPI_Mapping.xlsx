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pping" sheetId="2" state="visible" r:id="rId4"/>
    <sheet name="Plain English rewrites" sheetId="3" state="visible" r:id="rId5"/>
    <sheet name="Branch logic" sheetId="4" state="visible" r:id="rId6"/>
    <sheet name="Resolution pathways" sheetId="5" state="visible" r:id="rId7"/>
    <sheet name="Pathway steps" sheetId="6" state="visible" r:id="rId8"/>
    <sheet name="BASPI gaps" sheetId="7" state="visible" r:id="rId9"/>
    <sheet name="Fixes needed" sheetId="8" state="visible" r:id="rId10"/>
  </sheets>
  <definedNames>
    <definedName function="false" hidden="true" localSheetId="6" name="_xlnm._FilterDatabase" vbProcedure="false">'BASPI gaps'!$A$1:$I$54</definedName>
    <definedName function="false" hidden="true" localSheetId="3" name="_xlnm._FilterDatabase" vbProcedure="false">'Branch logic'!$A$1:$M$268</definedName>
    <definedName function="false" hidden="true" localSheetId="7" name="_xlnm._FilterDatabase" vbProcedure="false">'Fixes needed'!$A$1:$E$24</definedName>
    <definedName function="false" hidden="true" localSheetId="1" name="_xlnm._FilterDatabase" vbProcedure="false">Mapping!$A$1:$K$279</definedName>
    <definedName function="false" hidden="true" localSheetId="5" name="_xlnm._FilterDatabase" vbProcedure="false">'Pathway steps'!$A$1:$S$118</definedName>
    <definedName function="false" hidden="true" localSheetId="2" name="_xlnm._FilterDatabase" vbProcedure="false">'Plain English rewrites'!$A$1:$J$41</definedName>
    <definedName function="false" hidden="true" localSheetId="4" name="_xlnm._FilterDatabase" vbProcedure="false">'Resolution pathways'!$A$1:$K$39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<sst xmlns="http://schemas.openxmlformats.org/spreadsheetml/2006/main" count="7547" uniqueCount="3021">
  <si>
    <t xml:space="preserve">UMU seller question bank mapped to BASPI v5</t>
  </si>
  <si>
    <t xml:space="preserve">Mapping of the 278 UMU seller passport questions to BASPI v5, the TA6, TA7 and TA10 forms, and the OPDA Property Data Trust Framework (PDTF) schema v3. Draft for conveyancer review, 25 September 2026.</t>
  </si>
  <si>
    <t xml:space="preserve">Status</t>
  </si>
  <si>
    <t xml:space="preserve">Questions</t>
  </si>
  <si>
    <t xml:space="preserve">What it means</t>
  </si>
  <si>
    <t xml:space="preserve">In BASPI</t>
  </si>
  <si>
    <t xml:space="preserve">Maps directly to a BASPI v5 field.</t>
  </si>
  <si>
    <t xml:space="preserve">In BASPI (partial)</t>
  </si>
  <si>
    <t xml:space="preserve">BASPI covers the topic but the wording, scope or answer format differs.</t>
  </si>
  <si>
    <t xml:space="preserve">TA form only</t>
  </si>
  <si>
    <t xml:space="preserve">Not in BASPI; exists in the TA6, TA7 or TA10 overlay of the PDTF schema.</t>
  </si>
  <si>
    <t xml:space="preserve">TA form only (partial)</t>
  </si>
  <si>
    <t xml:space="preserve">As above, with differences.</t>
  </si>
  <si>
    <t xml:space="preserve">PDTF data only</t>
  </si>
  <si>
    <t xml:space="preserve">In the PDTF schema but not asked on any form.</t>
  </si>
  <si>
    <t xml:space="preserve">Search / HMLR data</t>
  </si>
  <si>
    <t xml:space="preserve">Document or data that can come from HM Land Registry or search providers.</t>
  </si>
  <si>
    <t xml:space="preserve">UMU only</t>
  </si>
  <si>
    <t xml:space="preserve">No equivalent; UMU-specific content.</t>
  </si>
  <si>
    <t xml:space="preserve">Info note</t>
  </si>
  <si>
    <t xml:space="preserve">Information screen, no answer.</t>
  </si>
  <si>
    <t xml:space="preserve">Total</t>
  </si>
  <si>
    <t xml:space="preserve">Key findings</t>
  </si>
  <si>
    <t xml:space="preserve">BASPI v5 covers almost all of TA6 (358 of 360 TA6 fields in the schema carry a BASPI reference).</t>
  </si>
  <si>
    <t xml:space="preserve">BASPI covers TA7 (leasehold) only partly: 53 of 159 TA7 fields. Most of UMU's leasehold section is TA7-only.</t>
  </si>
  <si>
    <t xml:space="preserve">BASPI covers TA10 (fittings) only at summary level: items to include and items to remove. UMU's 100 item-by-item fittings questions are TA10-only.</t>
  </si>
  <si>
    <t xml:space="preserve">Every TA-only question still has a home in the PDTF schema, so the whole bank can be stored in one OPDA-standard structure.</t>
  </si>
  <si>
    <t xml:space="preserve">53 BASPI items have no direct UMU question (see "BASPI gaps"): 38 look genuinely missing, the rest are automatic data or probably sit in follow-ups. Many are Part A material information, which matters for listing.</t>
  </si>
  <si>
    <t xml:space="preserve">Data fixes needed in the UMU question set are listed on "Fixes needed".</t>
  </si>
  <si>
    <t xml:space="preserve">Licence note: the PDTF schema is MIT-licensed, but its form overlays reflect BASPI, PIQ and Law Society TA forms. Rendering data into those forms needs the relevant licence.</t>
  </si>
  <si>
    <t xml:space="preserve">Source: Property-Data-Trust-Framework/schemas (GitHub), v3 base schema and overlays baspi5, ta6, ta7, ta10. UMU questions from UmovingU_Seller_Passport_Questions.docx.</t>
  </si>
  <si>
    <t xml:space="preserve">Branch logic: how far the homeowner can go</t>
  </si>
  <si>
    <t xml:space="preserve">Self-help ceiling</t>
  </si>
  <si>
    <t xml:space="preserve">Meaning</t>
  </si>
  <si>
    <t xml:space="preserve">1 Self-serve</t>
  </si>
  <si>
    <t xml:space="preserve">Homeowner answers and is done.</t>
  </si>
  <si>
    <t xml:space="preserve">2 Self-serve: fetch document</t>
  </si>
  <si>
    <t xml:space="preserve">Homeowner can find or download the missing document themselves.</t>
  </si>
  <si>
    <t xml:space="preserve">3 Prepare, then flag</t>
  </si>
  <si>
    <t xml:space="preserve">Homeowner gathers evidence; a conveyancer reviews if the trigger answer is given.</t>
  </si>
  <si>
    <t xml:space="preserve">4 Escalate to conveyancer</t>
  </si>
  <si>
    <t xml:space="preserve">Needs legal judgement straight away.</t>
  </si>
  <si>
    <t xml:space="preserve">#</t>
  </si>
  <si>
    <t xml:space="preserve">UMU section</t>
  </si>
  <si>
    <t xml:space="preserve">UMU group</t>
  </si>
  <si>
    <t xml:space="preserve">UMU question</t>
  </si>
  <si>
    <t xml:space="preserve">PDTF schema path</t>
  </si>
  <si>
    <t xml:space="preserve">BASPI v5 ref</t>
  </si>
  <si>
    <t xml:space="preserve">TA6 ref</t>
  </si>
  <si>
    <t xml:space="preserve">TA7 ref</t>
  </si>
  <si>
    <t xml:space="preserve">TA10 ref</t>
  </si>
  <si>
    <t xml:space="preserve">Notes</t>
  </si>
  <si>
    <t xml:space="preserve">1. Ownership Profile</t>
  </si>
  <si>
    <t xml:space="preserve">About this form</t>
  </si>
  <si>
    <t xml:space="preserve">No answer required.</t>
  </si>
  <si>
    <t xml:space="preserve">Name Of Sellers And Address Of The Property</t>
  </si>
  <si>
    <t xml:space="preserve">Address of the Property</t>
  </si>
  <si>
    <t xml:space="preserve">address</t>
  </si>
  <si>
    <t xml:space="preserve">A1.1</t>
  </si>
  <si>
    <t xml:space="preserve">0.1</t>
  </si>
  <si>
    <t xml:space="preserve">Full names of the seller(s)</t>
  </si>
  <si>
    <t xml:space="preserve">legalOwners.namesOfLegalOwners</t>
  </si>
  <si>
    <t xml:space="preserve">B1.1</t>
  </si>
  <si>
    <t xml:space="preserve">Capacity follow-ups map to participants[].sellersCapacity (BASPI B1.3).</t>
  </si>
  <si>
    <t xml:space="preserve">Seller Solicitor</t>
  </si>
  <si>
    <t xml:space="preserve">Sellers Solicitor</t>
  </si>
  <si>
    <t xml:space="preserve">participants[]</t>
  </si>
  <si>
    <t xml:space="preserve">Held as a participant with role "Seller's Conveyancer"; not a BASPI question.</t>
  </si>
  <si>
    <t xml:space="preserve">Give Your Home A Story</t>
  </si>
  <si>
    <t xml:space="preserve">What we love about our home?</t>
  </si>
  <si>
    <t xml:space="preserve">Home story content: marketing, not conveyancing. Keep, but outside BASPI.</t>
  </si>
  <si>
    <t xml:space="preserve">What is your council tax band?</t>
  </si>
  <si>
    <t xml:space="preserve">councilTax.councilTaxBand</t>
  </si>
  <si>
    <t xml:space="preserve">A1.9.1</t>
  </si>
  <si>
    <t xml:space="preserve">What is your asking price for the property?</t>
  </si>
  <si>
    <t xml:space="preserve">priceInformation.price</t>
  </si>
  <si>
    <t xml:space="preserve">Asking price is listing data, not a BASPI question.</t>
  </si>
  <si>
    <t xml:space="preserve">What is the type of the ownership?</t>
  </si>
  <si>
    <t xml:space="preserve">ownership.ownershipsToBeTransferred[].ownershipType</t>
  </si>
  <si>
    <t xml:space="preserve">A1.3.0.2</t>
  </si>
  <si>
    <t xml:space="preserve">1.1</t>
  </si>
  <si>
    <t xml:space="preserve">BASPI options are Freehold, Managed Freehold, Commonhold, Leasehold, Other. Share of freehold, shared ownership and flying freehold need mapping rules.</t>
  </si>
  <si>
    <t xml:space="preserve">Please enter the percentage of shared ownership and state how much rent you pay each year for the share that is not owned by you.</t>
  </si>
  <si>
    <t xml:space="preserve">ownership.ownershipsToBeTransferred[].leaseholdInformation.sharedOwnership</t>
  </si>
  <si>
    <t xml:space="preserve">A1.3.1</t>
  </si>
  <si>
    <t xml:space="preserve">Please enter the expiry date and length of your lease.</t>
  </si>
  <si>
    <t xml:space="preserve">ownership.ownershipsToBeTransferred[].leaseholdInformation.leaseTerm</t>
  </si>
  <si>
    <t xml:space="preserve">A1.4.1</t>
  </si>
  <si>
    <t xml:space="preserve">BASPI holds start year and length; UMU asks expiry date. Ground rent follow-ups map to ownership.ownershipsToBeTransferred[].leaseholdInformation.groundRent (BASPI A1.4.2).</t>
  </si>
  <si>
    <t xml:space="preserve">If your lease includes a service charge, it will set out the way the service charge is organised and what can be charged.</t>
  </si>
  <si>
    <t xml:space="preserve">ownership.ownershipsToBeTransferred[].leaseholdInformation.serviceCharge.annualServiceCharge</t>
  </si>
  <si>
    <t xml:space="preserve">A1.5.1.1.2</t>
  </si>
  <si>
    <t xml:space="preserve">Answer format is "years" but the field needs an annual amount (£). Check format.</t>
  </si>
  <si>
    <t xml:space="preserve">Provide a copy of the commonhold statement.</t>
  </si>
  <si>
    <t xml:space="preserve">ownership.ownershipsToBeTransferred[].managedFreeholdOrCommonholdInformation</t>
  </si>
  <si>
    <t xml:space="preserve">A1.5</t>
  </si>
  <si>
    <t xml:space="preserve">Commonhold detail in BASPI is limited; the community statement itself is not a BASPI field.</t>
  </si>
  <si>
    <t xml:space="preserve">Specify what type of property you are selling</t>
  </si>
  <si>
    <t xml:space="preserve">buildInformation.building.propertyType</t>
  </si>
  <si>
    <t xml:space="preserve">A1.8</t>
  </si>
  <si>
    <t xml:space="preserve">Rooms and features follow-ups map to buildInformation (partly outside BASPI).</t>
  </si>
  <si>
    <t xml:space="preserve">2. Boundaries</t>
  </si>
  <si>
    <t xml:space="preserve">Important Notes</t>
  </si>
  <si>
    <t xml:space="preserve">Boundary Responsibilities</t>
  </si>
  <si>
    <t xml:space="preserve">Looking at the property from the road, who owns or accepts responsibility to maintain or repair the boundary features on each side of the property?</t>
  </si>
  <si>
    <t xml:space="preserve">legalBoundaries.ownership.uniformBoundaries</t>
  </si>
  <si>
    <t xml:space="preserve">B2.1.0.2</t>
  </si>
  <si>
    <t xml:space="preserve">Automatic match with low confidence; conveyancer to confirm.</t>
  </si>
  <si>
    <t xml:space="preserve">Irregular Boundaries</t>
  </si>
  <si>
    <t xml:space="preserve">Are the boundaries irregular?</t>
  </si>
  <si>
    <t xml:space="preserve">legalBoundaries.ownership.areBoundariesUniform</t>
  </si>
  <si>
    <t xml:space="preserve">B2.1.0.1</t>
  </si>
  <si>
    <t xml:space="preserve">1.2</t>
  </si>
  <si>
    <t xml:space="preserve">"Irregular" = not uniform; invert the answer on export.</t>
  </si>
  <si>
    <t xml:space="preserve">Moved Boundary Features</t>
  </si>
  <si>
    <t xml:space="preserve">Is the seller aware of any boundary feature having been moved in the last 10 years, or during the seller's period of ownership if longer?</t>
  </si>
  <si>
    <t xml:space="preserve">legalBoundaries.haveBoundaryFeaturesMoved</t>
  </si>
  <si>
    <t xml:space="preserve">B2.2</t>
  </si>
  <si>
    <t xml:space="preserve">1.3</t>
  </si>
  <si>
    <t xml:space="preserve">UMU says "last 10 years"; the standard asks about the seller's ownership.</t>
  </si>
  <si>
    <t xml:space="preserve">Adjacent Land Purchased</t>
  </si>
  <si>
    <t xml:space="preserve">During the seller's ownership, has any adjacent land or property been purchased by the seller?</t>
  </si>
  <si>
    <t xml:space="preserve">legalBoundaries.adjacentLandIncluded</t>
  </si>
  <si>
    <t xml:space="preserve">B2.3</t>
  </si>
  <si>
    <t xml:space="preserve">1.4</t>
  </si>
  <si>
    <t xml:space="preserve">Complex Boundaries</t>
  </si>
  <si>
    <t xml:space="preserve">Does any part of the property overhang, or project under, the boundary of the neighbouring property or road, for example cellars under the pavement, roof eaves or a covered walkway?</t>
  </si>
  <si>
    <t xml:space="preserve">legalBoundaries.flyingFreehold</t>
  </si>
  <si>
    <t xml:space="preserve">B2.5</t>
  </si>
  <si>
    <t xml:space="preserve">1.5</t>
  </si>
  <si>
    <t xml:space="preserve">Overhang question is broader than the flying freehold field.</t>
  </si>
  <si>
    <t xml:space="preserve">Notices Under The Party Wall Act 1996</t>
  </si>
  <si>
    <t xml:space="preserve">Has any notice been received under the Party Wall Act 1996, in respect of any shared/party boundaries?</t>
  </si>
  <si>
    <t xml:space="preserve">notices.partyWallAct</t>
  </si>
  <si>
    <t xml:space="preserve">A4.6</t>
  </si>
  <si>
    <t xml:space="preserve">1.6</t>
  </si>
  <si>
    <t xml:space="preserve">3. Disputes and Complaints</t>
  </si>
  <si>
    <t xml:space="preserve">Past Disputes Or Complaints</t>
  </si>
  <si>
    <t xml:space="preserve">Have there been any disputes or complaints regarding this property or a property nearby?</t>
  </si>
  <si>
    <t xml:space="preserve">disputesAndComplaints.hasDisputesAndComplaints</t>
  </si>
  <si>
    <t xml:space="preserve">A2.1.1</t>
  </si>
  <si>
    <t xml:space="preserve">2.1</t>
  </si>
  <si>
    <t xml:space="preserve">Prospective Disputes Or Complaints</t>
  </si>
  <si>
    <t xml:space="preserve">Is the seller aware of anything which might lead to a dispute about the property or a property nearby?</t>
  </si>
  <si>
    <t xml:space="preserve">disputesAndComplaints.leadingToDisputesAndComplaints</t>
  </si>
  <si>
    <t xml:space="preserve">A2.1.2</t>
  </si>
  <si>
    <t xml:space="preserve">2.2</t>
  </si>
  <si>
    <t xml:space="preserve">4. Notices and Proposals</t>
  </si>
  <si>
    <t xml:space="preserve">Received Or Sent Notices</t>
  </si>
  <si>
    <t xml:space="preserve">Have any notices or correspondence been received or sent (e.g.from or to a neighbour, council or government department) or any negotiations or discussions taken place, which affect the property or a property nearby?</t>
  </si>
  <si>
    <t xml:space="preserve">notices</t>
  </si>
  <si>
    <t xml:space="preserve">A4</t>
  </si>
  <si>
    <t xml:space="preserve">3</t>
  </si>
  <si>
    <t xml:space="preserve">Umbrella question; standard splits into planning applications, maintenance notices, listed building applications and others.</t>
  </si>
  <si>
    <t xml:space="preserve">Proposals To Develop Or Alter</t>
  </si>
  <si>
    <t xml:space="preserve">Is the seller aware of any proposals to develop property or land nearby, or, any proposals to make alterations to buildings nearby?</t>
  </si>
  <si>
    <t xml:space="preserve">notices.neighbourDevelopment</t>
  </si>
  <si>
    <t xml:space="preserve">A4.1</t>
  </si>
  <si>
    <t xml:space="preserve">3.2</t>
  </si>
  <si>
    <t xml:space="preserve">5. Alterations and Planning</t>
  </si>
  <si>
    <t xml:space="preserve">Building Works</t>
  </si>
  <si>
    <t xml:space="preserve">Have any of the following changes been made to the whole or any part of the property (including the garden)?</t>
  </si>
  <si>
    <t xml:space="preserve">alterationsAndChanges</t>
  </si>
  <si>
    <t xml:space="preserve">A3</t>
  </si>
  <si>
    <t xml:space="preserve">4.1</t>
  </si>
  <si>
    <t xml:space="preserve">Umbrella; sub-items map to structural alterations (A3.1), change of use (A3.2), windows since 2002 (A3.3) and conservatory.</t>
  </si>
  <si>
    <t xml:space="preserve">Unfinished Works</t>
  </si>
  <si>
    <t xml:space="preserve">Are any of the works disclosed in previous questions unfinished?</t>
  </si>
  <si>
    <t xml:space="preserve">alterationsAndChanges.worksUnfinished</t>
  </si>
  <si>
    <t xml:space="preserve">A3.6</t>
  </si>
  <si>
    <t xml:space="preserve">4.3</t>
  </si>
  <si>
    <t xml:space="preserve">Breaches Of Consent Conditions</t>
  </si>
  <si>
    <t xml:space="preserve">Is the seller aware of any breaches of planning permission conditions or Building Regulations consent conditions, unfinished work or work that does not have all necessary consents?</t>
  </si>
  <si>
    <t xml:space="preserve">alterationsAndChanges.planningPermissionBreaches</t>
  </si>
  <si>
    <t xml:space="preserve">A3.7</t>
  </si>
  <si>
    <t xml:space="preserve">4.4</t>
  </si>
  <si>
    <t xml:space="preserve">Planning Or Building Issues</t>
  </si>
  <si>
    <t xml:space="preserve">Are there any planning or building control issues to resolve?</t>
  </si>
  <si>
    <t xml:space="preserve">alterationsAndChanges.unresolvedPlanningIssues</t>
  </si>
  <si>
    <t xml:space="preserve">A3.8</t>
  </si>
  <si>
    <t xml:space="preserve">4.5</t>
  </si>
  <si>
    <t xml:space="preserve">Solar Panels</t>
  </si>
  <si>
    <t xml:space="preserve">Have solar panels been installed?</t>
  </si>
  <si>
    <t xml:space="preserve">electricity.solarPanels</t>
  </si>
  <si>
    <t xml:space="preserve">A7.1.0.8</t>
  </si>
  <si>
    <t xml:space="preserve">4.6</t>
  </si>
  <si>
    <t xml:space="preserve">Solar Panels Ownership</t>
  </si>
  <si>
    <t xml:space="preserve">Are the solar panels owned outright?</t>
  </si>
  <si>
    <t xml:space="preserve">electricity.solarPanels.panelsOwnedOutright</t>
  </si>
  <si>
    <t xml:space="preserve">B4.3.2</t>
  </si>
  <si>
    <t xml:space="preserve">4.6b</t>
  </si>
  <si>
    <t xml:space="preserve">Answer format is "Date / year entry" but this is a yes/no question. Fix format.</t>
  </si>
  <si>
    <t xml:space="preserve">Solar Panel Roof Lease</t>
  </si>
  <si>
    <t xml:space="preserve">Has a long lease of the roof/air space been granted to a solar panel provider?</t>
  </si>
  <si>
    <t xml:space="preserve">electricity.solarPanels.panelProviderLease</t>
  </si>
  <si>
    <t xml:space="preserve">B4.3.3</t>
  </si>
  <si>
    <t xml:space="preserve">4.6c</t>
  </si>
  <si>
    <t xml:space="preserve">Listed Building</t>
  </si>
  <si>
    <t xml:space="preserve">Is the property or any part of it: a listed building??</t>
  </si>
  <si>
    <t xml:space="preserve">listingAndConservation.isListed</t>
  </si>
  <si>
    <t xml:space="preserve">A1.7.1</t>
  </si>
  <si>
    <t xml:space="preserve">4.7a</t>
  </si>
  <si>
    <t xml:space="preserve">Conservation Orders</t>
  </si>
  <si>
    <t xml:space="preserve">Is the property or any part of it: in a conservation area?</t>
  </si>
  <si>
    <t xml:space="preserve">listingAndConservation.isConservationArea</t>
  </si>
  <si>
    <t xml:space="preserve">A1.7.2</t>
  </si>
  <si>
    <t xml:space="preserve">4.7b</t>
  </si>
  <si>
    <t xml:space="preserve">Tree Preservation Orders</t>
  </si>
  <si>
    <t xml:space="preserve">Are any of the trees on the property subject to a Tree Preservation Order?</t>
  </si>
  <si>
    <t xml:space="preserve">listingAndConservation.hasTreePreservationOrder.workCarriedOut</t>
  </si>
  <si>
    <t xml:space="preserve">A1.7.3.2</t>
  </si>
  <si>
    <t xml:space="preserve">4.8a</t>
  </si>
  <si>
    <t xml:space="preserve">Have the terms of the Order been complied with?</t>
  </si>
  <si>
    <t xml:space="preserve">6. Guarantees and Warranties</t>
  </si>
  <si>
    <t xml:space="preserve">New Home Warranty</t>
  </si>
  <si>
    <t xml:space="preserve">Does the property benefit from any New Home guarantees or warranties? (e.g. NHBC or similar)</t>
  </si>
  <si>
    <t xml:space="preserve">guaranteesWarrantiesAndIndemnityInsurances.newHomeWarranty</t>
  </si>
  <si>
    <t xml:space="preserve">B5.1.1</t>
  </si>
  <si>
    <t xml:space="preserve">5.1a</t>
  </si>
  <si>
    <t xml:space="preserve">Damp Proofing</t>
  </si>
  <si>
    <t xml:space="preserve">Does the property benefit from any Damp Proofing guarantees or warranties?</t>
  </si>
  <si>
    <t xml:space="preserve">guaranteesWarrantiesAndIndemnityInsurances.dampProofingTreatment</t>
  </si>
  <si>
    <t xml:space="preserve">B5.1.3</t>
  </si>
  <si>
    <t xml:space="preserve">5.1b</t>
  </si>
  <si>
    <t xml:space="preserve">Timber Treatment</t>
  </si>
  <si>
    <t xml:space="preserve">Does the property benefit from any Timber Treatment guarantees or warranties?</t>
  </si>
  <si>
    <t xml:space="preserve">guaranteesWarrantiesAndIndemnityInsurances.timberRotOrInfestationTreatment</t>
  </si>
  <si>
    <t xml:space="preserve">B5.1.4</t>
  </si>
  <si>
    <t xml:space="preserve">5.1c</t>
  </si>
  <si>
    <t xml:space="preserve">Window Roof Light Door</t>
  </si>
  <si>
    <t xml:space="preserve">Does the property benefit from any Windows, Roof Lights, Roof Windows or Glazed Doors guarantees or warranties?</t>
  </si>
  <si>
    <t xml:space="preserve">guaranteesWarrantiesAndIndemnityInsurances.doubleGlazing</t>
  </si>
  <si>
    <t xml:space="preserve">B5.1.6</t>
  </si>
  <si>
    <t xml:space="preserve">5.1d</t>
  </si>
  <si>
    <t xml:space="preserve">Electrical Work</t>
  </si>
  <si>
    <t xml:space="preserve">Does the property benefit from any electrical work guarantees or warranties?</t>
  </si>
  <si>
    <t xml:space="preserve">guaranteesWarrantiesAndIndemnityInsurances.electricalRepairOrInstallation</t>
  </si>
  <si>
    <t xml:space="preserve">B5.1.7</t>
  </si>
  <si>
    <t xml:space="preserve">5.1e</t>
  </si>
  <si>
    <t xml:space="preserve">Roofing</t>
  </si>
  <si>
    <t xml:space="preserve">Does the property benefit from any of the following guarantees or warranties:</t>
  </si>
  <si>
    <t xml:space="preserve">guaranteesWarrantiesAndIndemnityInsurances.roofingWork</t>
  </si>
  <si>
    <t xml:space="preserve">B5.1.2</t>
  </si>
  <si>
    <t xml:space="preserve">5.1f</t>
  </si>
  <si>
    <t xml:space="preserve">Central Heating</t>
  </si>
  <si>
    <t xml:space="preserve">guaranteesWarrantiesAndIndemnityInsurances.centralHeatingAndorPlumbing</t>
  </si>
  <si>
    <t xml:space="preserve">B5.1.5</t>
  </si>
  <si>
    <t xml:space="preserve">5.1g</t>
  </si>
  <si>
    <t xml:space="preserve">Underpinning</t>
  </si>
  <si>
    <t xml:space="preserve">guaranteesWarrantiesAndIndemnityInsurances.subsidenceWork</t>
  </si>
  <si>
    <t xml:space="preserve">B5.1.8</t>
  </si>
  <si>
    <t xml:space="preserve">5.1h</t>
  </si>
  <si>
    <t xml:space="preserve">7. Insurance</t>
  </si>
  <si>
    <t xml:space="preserve">Seller Insurance</t>
  </si>
  <si>
    <t xml:space="preserve">Does the seller insure the property?</t>
  </si>
  <si>
    <t xml:space="preserve">insurance.isInsured</t>
  </si>
  <si>
    <t xml:space="preserve">A8.1</t>
  </si>
  <si>
    <t xml:space="preserve">6.1</t>
  </si>
  <si>
    <t xml:space="preserve">Landlord Insurance</t>
  </si>
  <si>
    <t xml:space="preserve">If the property is a flat, does the landlord insure the building?</t>
  </si>
  <si>
    <t xml:space="preserve">insurance.landlordInsuresIfFlat</t>
  </si>
  <si>
    <t xml:space="preserve">A8.1.2</t>
  </si>
  <si>
    <t xml:space="preserve">6.3</t>
  </si>
  <si>
    <t xml:space="preserve">Buildings Insurance</t>
  </si>
  <si>
    <t xml:space="preserve">Has any buildings insurance taken out by the seller ever been subject to an abnormal rise in premiums?</t>
  </si>
  <si>
    <t xml:space="preserve">insurance.difficultiesObtainingInsurance.abnormalRiseInPremiums</t>
  </si>
  <si>
    <t xml:space="preserve">A8.1.2.1.1</t>
  </si>
  <si>
    <t xml:space="preserve">6.4a</t>
  </si>
  <si>
    <t xml:space="preserve">Has any buildings insurance taken out by the seller ever been subject to high excesses?</t>
  </si>
  <si>
    <t xml:space="preserve">insurance.difficultiesObtainingInsurance.subjectToHighExcesses</t>
  </si>
  <si>
    <t xml:space="preserve">A8.1.2.1.2</t>
  </si>
  <si>
    <t xml:space="preserve">6.4b</t>
  </si>
  <si>
    <t xml:space="preserve">Has any buildings insurance taken out by the seller ever been subject to unusual conditions?</t>
  </si>
  <si>
    <t xml:space="preserve">insurance.difficultiesObtainingInsurance.subjectToUnusualConditions</t>
  </si>
  <si>
    <t xml:space="preserve">A8.1.2.1.3</t>
  </si>
  <si>
    <t xml:space="preserve">6.4c</t>
  </si>
  <si>
    <t xml:space="preserve">Has any buildings insurance taken out by the seller ever been refused?</t>
  </si>
  <si>
    <t xml:space="preserve">insurance.difficultiesObtainingInsurance.refused</t>
  </si>
  <si>
    <t xml:space="preserve">A8.1.2.1.4</t>
  </si>
  <si>
    <t xml:space="preserve">6.4d</t>
  </si>
  <si>
    <t xml:space="preserve">Has the seller made any buildings insurance claims?</t>
  </si>
  <si>
    <t xml:space="preserve">insurance.insuranceClaims</t>
  </si>
  <si>
    <t xml:space="preserve">A8.2</t>
  </si>
  <si>
    <t xml:space="preserve">6.5</t>
  </si>
  <si>
    <t xml:space="preserve">8. Environmental</t>
  </si>
  <si>
    <t xml:space="preserve">Flooding</t>
  </si>
  <si>
    <t xml:space="preserve">Has any part of the property (whether buildings or surrounding garden or land) ever been flooded?</t>
  </si>
  <si>
    <t xml:space="preserve">environmentalIssues.flooding.historicalFlooding</t>
  </si>
  <si>
    <t xml:space="preserve">A11.1.2</t>
  </si>
  <si>
    <t xml:space="preserve">7.1</t>
  </si>
  <si>
    <t xml:space="preserve">Has a Flood Risk Report been prepared?</t>
  </si>
  <si>
    <t xml:space="preserve">environmentalIssues.flooding.floodRisk</t>
  </si>
  <si>
    <t xml:space="preserve">Flood risk report is search data in PDTF, not a BASPI question.</t>
  </si>
  <si>
    <t xml:space="preserve">Radon</t>
  </si>
  <si>
    <t xml:space="preserve">Has a Radon test been carried out on the property?</t>
  </si>
  <si>
    <t xml:space="preserve">environmentalIssues.radon.radonTest</t>
  </si>
  <si>
    <t xml:space="preserve">A11.1.3</t>
  </si>
  <si>
    <t xml:space="preserve">7.4</t>
  </si>
  <si>
    <t xml:space="preserve">Was the test result below the recommended action level?</t>
  </si>
  <si>
    <t xml:space="preserve">Were any remedial measures undertaken on construction to reduce Radon gas levels in the property?</t>
  </si>
  <si>
    <t xml:space="preserve">environmentalIssues.radon.remedialMeasuresOnConstruction</t>
  </si>
  <si>
    <t xml:space="preserve">A11.1.3.4</t>
  </si>
  <si>
    <t xml:space="preserve">7.5</t>
  </si>
  <si>
    <t xml:space="preserve">Energy Efficiency</t>
  </si>
  <si>
    <t xml:space="preserve">Please supply a copy of the EPC for the property.</t>
  </si>
  <si>
    <t xml:space="preserve">energyEfficiency.certificateIsSupplied</t>
  </si>
  <si>
    <t xml:space="preserve">7.6.1</t>
  </si>
  <si>
    <t xml:space="preserve">Have any installations in the property been financed under the Green Deal scheme?</t>
  </si>
  <si>
    <t xml:space="preserve">energyEfficiency.greenDealLoan.hasGreenDealLoan</t>
  </si>
  <si>
    <t xml:space="preserve">A7.3</t>
  </si>
  <si>
    <t xml:space="preserve">7.7.0</t>
  </si>
  <si>
    <t xml:space="preserve">Japanese Knotweed</t>
  </si>
  <si>
    <t xml:space="preserve">Is the property affected by Japanese knotweed?</t>
  </si>
  <si>
    <t xml:space="preserve">specialistIssues.japaneseKnotweed</t>
  </si>
  <si>
    <t xml:space="preserve">A5.3</t>
  </si>
  <si>
    <t xml:space="preserve">7.8</t>
  </si>
  <si>
    <t xml:space="preserve">9. Rights and Informal Arrangements</t>
  </si>
  <si>
    <t xml:space="preserve">Shared Costs Maintenance And Responsibilities</t>
  </si>
  <si>
    <t xml:space="preserve">Does ownership of the property carry a responsibility to contribute towards the cost of any jointly used services, such as maintenance of a private road, a shared driveway, a boundary or drain?</t>
  </si>
  <si>
    <t xml:space="preserve">rightsAndInformalArrangements.sharedContributions</t>
  </si>
  <si>
    <t xml:space="preserve">A10.1</t>
  </si>
  <si>
    <t xml:space="preserve">8.1</t>
  </si>
  <si>
    <t xml:space="preserve">Rights Over Neighbouring Property</t>
  </si>
  <si>
    <t xml:space="preserve">Does the property benefit from any rights or arrangements over any neighboring property (this includes any rights of way)?</t>
  </si>
  <si>
    <t xml:space="preserve">rightsAndInformalArrangements.neighbouringLandRights</t>
  </si>
  <si>
    <t xml:space="preserve">A10.2</t>
  </si>
  <si>
    <t xml:space="preserve">8.2</t>
  </si>
  <si>
    <t xml:space="preserve">Access Disputes Or Restrictions</t>
  </si>
  <si>
    <t xml:space="preserve">Has anyone taken steps to prevent access to the property, or to complain about or demand payment for access to the property?</t>
  </si>
  <si>
    <t xml:space="preserve">rightsAndInformalArrangements.accessRestrictionAttempts</t>
  </si>
  <si>
    <t xml:space="preserve">A10.3</t>
  </si>
  <si>
    <t xml:space="preserve">8.3</t>
  </si>
  <si>
    <t xml:space="preserve">Property Rights And Protections</t>
  </si>
  <si>
    <t xml:space="preserve">Does the seller know if any of the following rights benefit the property:</t>
  </si>
  <si>
    <t xml:space="preserve">rightsAndInformalArrangements.rightsOrArrangements.rightsOfLight</t>
  </si>
  <si>
    <t xml:space="preserve">A10.4.2a</t>
  </si>
  <si>
    <t xml:space="preserve">8.4a</t>
  </si>
  <si>
    <t xml:space="preserve">Hidden Rights And Histonic Responsibilities</t>
  </si>
  <si>
    <t xml:space="preserve">Do any drains, pipes or wires leading to any neighbour's property cross the property?</t>
  </si>
  <si>
    <t xml:space="preserve">servicesCrossing.pipesWiresCablesDrainsFromProperty</t>
  </si>
  <si>
    <t xml:space="preserve">B3.2</t>
  </si>
  <si>
    <t xml:space="preserve">8.8</t>
  </si>
  <si>
    <t xml:space="preserve">Check direction against the standard. The reverse question (this property's services crossing neighbouring land) appears missing.</t>
  </si>
  <si>
    <t xml:space="preserve">Other Rights Or Arrangements</t>
  </si>
  <si>
    <t xml:space="preserve">rightsAndInformalArrangements.rightsOrArrangements.rightsOfSupport</t>
  </si>
  <si>
    <t xml:space="preserve">A10.4.2b</t>
  </si>
  <si>
    <t xml:space="preserve">Shared Services And Utilities</t>
  </si>
  <si>
    <t xml:space="preserve">rightsAndInformalArrangements.rightsOrArrangements</t>
  </si>
  <si>
    <t xml:space="preserve">A10.4</t>
  </si>
  <si>
    <t xml:space="preserve">8.4</t>
  </si>
  <si>
    <t xml:space="preserve">No separate customary rights field; sits under the umbrella rights question.</t>
  </si>
  <si>
    <t xml:space="preserve">Does the seller know if any of the following arrangements affect the property:</t>
  </si>
  <si>
    <t xml:space="preserve">rightsAndInformalArrangements.rightsOrArrangements.minesAndMinerals</t>
  </si>
  <si>
    <t xml:space="preserve">A10.4.4</t>
  </si>
  <si>
    <t xml:space="preserve">8.5a</t>
  </si>
  <si>
    <t xml:space="preserve">rightsAndInformalArrangements.rightsOrArrangements.churchChancel</t>
  </si>
  <si>
    <t xml:space="preserve">A10.4.5</t>
  </si>
  <si>
    <t xml:space="preserve">8.5b</t>
  </si>
  <si>
    <t xml:space="preserve">rightsAndInformalArrangements.rightsOrArrangements.rightsToTakeFromLand</t>
  </si>
  <si>
    <t xml:space="preserve">A10.4.3b</t>
  </si>
  <si>
    <t xml:space="preserve">Are there any other rights or arrangements affecting the property? This includes any rights of way.</t>
  </si>
  <si>
    <t xml:space="preserve">rightsAndInformalArrangements.rightsOrArrangements.otherRights</t>
  </si>
  <si>
    <t xml:space="preserve">A10.4.6</t>
  </si>
  <si>
    <t xml:space="preserve">8.6</t>
  </si>
  <si>
    <t xml:space="preserve">servicesCrossing.pipesWiresCablesDrainsToProperty</t>
  </si>
  <si>
    <t xml:space="preserve">B3.1</t>
  </si>
  <si>
    <t xml:space="preserve">8.7</t>
  </si>
  <si>
    <t xml:space="preserve">Same wording as Q68 (duplicate). Suggest rewording to cover this property's services crossing neighbouring land.</t>
  </si>
  <si>
    <t xml:space="preserve">Is there any agreement or arrangement about drains, pipes or wires?</t>
  </si>
  <si>
    <t xml:space="preserve">servicesCrossing.formalOrInformalAgreements</t>
  </si>
  <si>
    <t xml:space="preserve">B3.3</t>
  </si>
  <si>
    <t xml:space="preserve">8.9</t>
  </si>
  <si>
    <t xml:space="preserve">10. Parking</t>
  </si>
  <si>
    <t xml:space="preserve">Parking Arrangements</t>
  </si>
  <si>
    <t xml:space="preserve">What are the parking arrangements at the property?</t>
  </si>
  <si>
    <t xml:space="preserve">parking.parkingArrangements</t>
  </si>
  <si>
    <t xml:space="preserve">A1.6.0</t>
  </si>
  <si>
    <t xml:space="preserve">9.1</t>
  </si>
  <si>
    <t xml:space="preserve">Controlled Parking Zone Or Local Authority Schemes</t>
  </si>
  <si>
    <t xml:space="preserve">Is the property in a controlled parking zone or within a local authority parking scheme?</t>
  </si>
  <si>
    <t xml:space="preserve">parking.controlledParking</t>
  </si>
  <si>
    <t xml:space="preserve">A1.6.0.2</t>
  </si>
  <si>
    <t xml:space="preserve">9.2</t>
  </si>
  <si>
    <t xml:space="preserve">11. Other Charges</t>
  </si>
  <si>
    <t xml:space="preserve">Charges Relating To The Property</t>
  </si>
  <si>
    <t xml:space="preserve">Does the seller have to pay any charges relating to the property (excluding any payments such as council tax, utility charges, etc.), for example payments to a management company?</t>
  </si>
  <si>
    <t xml:space="preserve">additionalInformation.otherCharges</t>
  </si>
  <si>
    <t xml:space="preserve">A12.3</t>
  </si>
  <si>
    <t xml:space="preserve">10.1</t>
  </si>
  <si>
    <t xml:space="preserve">12. Occupiers</t>
  </si>
  <si>
    <t xml:space="preserve">The Seller</t>
  </si>
  <si>
    <t xml:space="preserve">Does the seller live at the property?</t>
  </si>
  <si>
    <t xml:space="preserve">occupiers.sellerLivesAtProperty</t>
  </si>
  <si>
    <t xml:space="preserve">B6.1</t>
  </si>
  <si>
    <t xml:space="preserve">11.1</t>
  </si>
  <si>
    <t xml:space="preserve">Other Occupiers</t>
  </si>
  <si>
    <t xml:space="preserve">Does anyone else, aged 17 or over, live at the property??</t>
  </si>
  <si>
    <t xml:space="preserve">occupiers.othersAged17OrOver.hasOthersAged17OrOver</t>
  </si>
  <si>
    <t xml:space="preserve">B6.2.1</t>
  </si>
  <si>
    <t xml:space="preserve">11.2.1</t>
  </si>
  <si>
    <t xml:space="preserve">Lodgers And Tenants</t>
  </si>
  <si>
    <t xml:space="preserve">Are any of the occupiers (other than the sellers), aged 17 or over, tenants or lodgers?</t>
  </si>
  <si>
    <t xml:space="preserve">occupiers.othersAged17OrOver.aged17OrOverTenantsOrLodgers</t>
  </si>
  <si>
    <t xml:space="preserve">B6.2.3</t>
  </si>
  <si>
    <t xml:space="preserve">11.4</t>
  </si>
  <si>
    <t xml:space="preserve">Vacant Possession</t>
  </si>
  <si>
    <t xml:space="preserve">Is the property being sold with vacant possession?</t>
  </si>
  <si>
    <t xml:space="preserve">occupiers.othersAged17OrOver.vacantPossession.soldWithVacantPossession</t>
  </si>
  <si>
    <t xml:space="preserve">B6.2.4.1</t>
  </si>
  <si>
    <t xml:space="preserve">11.5.1</t>
  </si>
  <si>
    <t xml:space="preserve">13. Services</t>
  </si>
  <si>
    <t xml:space="preserve">Electricity</t>
  </si>
  <si>
    <t xml:space="preserve">Has the whole or any part of the electrical installation been tested by a qualified and registered electrician?</t>
  </si>
  <si>
    <t xml:space="preserve">electricalWorks.testedByQualifiedElectrician</t>
  </si>
  <si>
    <t xml:space="preserve">B4.1</t>
  </si>
  <si>
    <t xml:space="preserve">12.1</t>
  </si>
  <si>
    <t xml:space="preserve">Has the property been rewired or had any electrical installation work carried out since 1 January 2005?</t>
  </si>
  <si>
    <t xml:space="preserve">electricalWorks.electricalWorkSince2005</t>
  </si>
  <si>
    <t xml:space="preserve">B4.2</t>
  </si>
  <si>
    <t xml:space="preserve">12.2</t>
  </si>
  <si>
    <t xml:space="preserve">Does the property have a central heating system?</t>
  </si>
  <si>
    <t xml:space="preserve">heating.heatingSystem.heatingType</t>
  </si>
  <si>
    <t xml:space="preserve">A7.4.0</t>
  </si>
  <si>
    <t xml:space="preserve">12.3.1</t>
  </si>
  <si>
    <t xml:space="preserve">What type of system is it (e.g. mains gas, liquid gas, oil, electricity, etc.)?</t>
  </si>
  <si>
    <t xml:space="preserve">heating.heatingSystem.centralHeatingDetails.centralHeatingFuel.centralHeatingFuelType</t>
  </si>
  <si>
    <t xml:space="preserve">A7.4.0.2</t>
  </si>
  <si>
    <t xml:space="preserve">12.3a1</t>
  </si>
  <si>
    <t xml:space="preserve">When was the heating system installed?</t>
  </si>
  <si>
    <t xml:space="preserve">heating.heatingSystem.centralHeatingDetails.centralHeatingInstalled</t>
  </si>
  <si>
    <t xml:space="preserve">A7.4.1</t>
  </si>
  <si>
    <t xml:space="preserve">12.3b1</t>
  </si>
  <si>
    <t xml:space="preserve">Is the heating system in good working order?</t>
  </si>
  <si>
    <t xml:space="preserve">heating.heatingSystem.centralHeatingDetails.heatingInGoodWorkingOrder</t>
  </si>
  <si>
    <t xml:space="preserve">A7.4.3</t>
  </si>
  <si>
    <t xml:space="preserve">12.3c</t>
  </si>
  <si>
    <t xml:space="preserve">In what year was the heating system last serviced/maintained?</t>
  </si>
  <si>
    <t xml:space="preserve">heating.heatingSystem.centralHeatingDetails.heatingLastServicedDate</t>
  </si>
  <si>
    <t xml:space="preserve">A7.4.2.1</t>
  </si>
  <si>
    <t xml:space="preserve">12.3d1</t>
  </si>
  <si>
    <t xml:space="preserve">Drainage And Sewerage</t>
  </si>
  <si>
    <t xml:space="preserve">Is the property connected to mains:</t>
  </si>
  <si>
    <t xml:space="preserve">waterAndDrainage.drainage.mainsFoulDrainage</t>
  </si>
  <si>
    <t xml:space="preserve">A7.1.0.11</t>
  </si>
  <si>
    <t xml:space="preserve">12.4a</t>
  </si>
  <si>
    <t xml:space="preserve">waterAndDrainage.drainage.mainsSurfaceWaterDrainage</t>
  </si>
  <si>
    <t xml:space="preserve">A7.1.0.12.0</t>
  </si>
  <si>
    <t xml:space="preserve">12.4b</t>
  </si>
  <si>
    <t xml:space="preserve">Is sewerage for the property provided by:</t>
  </si>
  <si>
    <t xml:space="preserve">waterAndDrainage.drainage.mainsFoulDrainage.offMainsDrainageSystem.offMainsDrainageSystemType</t>
  </si>
  <si>
    <t xml:space="preserve">A7.1</t>
  </si>
  <si>
    <t xml:space="preserve">12.5</t>
  </si>
  <si>
    <t xml:space="preserve">Is sewerage for any part of the  property provided by:</t>
  </si>
  <si>
    <t xml:space="preserve">Is the use of the septic tank, sewage treatment plant or cesspool shared with other properties?</t>
  </si>
  <si>
    <t xml:space="preserve">waterAndDrainage.drainage.mainsFoulDrainage.offMainsDrainageSystem.otherConnectedProperties</t>
  </si>
  <si>
    <t xml:space="preserve">A7.1.1</t>
  </si>
  <si>
    <t xml:space="preserve">12.6</t>
  </si>
  <si>
    <t xml:space="preserve">When was the system last emptied?</t>
  </si>
  <si>
    <t xml:space="preserve">waterAndDrainage.drainage.mainsFoulDrainage.offMainsDrainageSystem.dateLastEmptied</t>
  </si>
  <si>
    <t xml:space="preserve">A7.1.0.14.3</t>
  </si>
  <si>
    <t xml:space="preserve">12.7</t>
  </si>
  <si>
    <t xml:space="preserve">If the property is served by a sewage treatment plant, when was the treatment plant last serviced?</t>
  </si>
  <si>
    <t xml:space="preserve">waterAndDrainage.drainage.mainsFoulDrainage.offMainsDrainageSystem.dateLastServiced</t>
  </si>
  <si>
    <t xml:space="preserve">A7.1.0.16.3</t>
  </si>
  <si>
    <t xml:space="preserve">12.8</t>
  </si>
  <si>
    <t xml:space="preserve">When was the system installed?</t>
  </si>
  <si>
    <t xml:space="preserve">waterAndDrainage.drainage.mainsFoulDrainage.offMainsDrainageSystem.dateInstalled</t>
  </si>
  <si>
    <t xml:space="preserve">A7.1.0.16.2</t>
  </si>
  <si>
    <t xml:space="preserve">12.9</t>
  </si>
  <si>
    <t xml:space="preserve">Is any part of the septic tank, sewage treatment plant (including any soakaway or outfall) or cesspool, or the access to it, outside the boundary of the property?</t>
  </si>
  <si>
    <t xml:space="preserve">waterAndDrainage.drainage.mainsFoulDrainage.offMainsDrainageSystem.plantOnOtherLand</t>
  </si>
  <si>
    <t xml:space="preserve">A7.1.2</t>
  </si>
  <si>
    <t xml:space="preserve">12.10</t>
  </si>
  <si>
    <t xml:space="preserve">Connection To Services And Utilities</t>
  </si>
  <si>
    <t xml:space="preserve">Mains electricity - is this service/utility connected to the property?</t>
  </si>
  <si>
    <t xml:space="preserve">electricity.mainsElectricity</t>
  </si>
  <si>
    <t xml:space="preserve">A7.1.0.1</t>
  </si>
  <si>
    <t xml:space="preserve">13.1</t>
  </si>
  <si>
    <t xml:space="preserve">Mains gas - is this service/utility connected to the property?</t>
  </si>
  <si>
    <t xml:space="preserve">heating.heatingSystem.centralHeatingDetails.centralHeatingFuel.supplier</t>
  </si>
  <si>
    <t xml:space="preserve">A7.1.0</t>
  </si>
  <si>
    <t xml:space="preserve">13.2b</t>
  </si>
  <si>
    <t xml:space="preserve">Mains gas connection is captured through heating fuel and gas supplier fields.</t>
  </si>
  <si>
    <t xml:space="preserve">Mains water - is this service/utility connected to the property?</t>
  </si>
  <si>
    <t xml:space="preserve">waterAndDrainage.water.mainsWater</t>
  </si>
  <si>
    <t xml:space="preserve">A7.1.0.10.0</t>
  </si>
  <si>
    <t xml:space="preserve">13.3</t>
  </si>
  <si>
    <t xml:space="preserve">Mains sewage - is this service/utility connected to the property?</t>
  </si>
  <si>
    <t xml:space="preserve">Overlaps Q96.</t>
  </si>
  <si>
    <t xml:space="preserve">Telephone - is this service/utility connected to the property?</t>
  </si>
  <si>
    <t xml:space="preserve">connectivity.telephone</t>
  </si>
  <si>
    <t xml:space="preserve">A7.1.0.5</t>
  </si>
  <si>
    <t xml:space="preserve">13.5</t>
  </si>
  <si>
    <t xml:space="preserve">Broadband  - is this service/utility connected to the property?</t>
  </si>
  <si>
    <t xml:space="preserve">connectivity.broadband</t>
  </si>
  <si>
    <t xml:space="preserve">A7.1.0.7</t>
  </si>
  <si>
    <t xml:space="preserve">14. Transaction Information</t>
  </si>
  <si>
    <t xml:space="preserve">Transaction Information Questions</t>
  </si>
  <si>
    <t xml:space="preserve">Is this sale dependent on the seller completing the purchase of another property on the same day?</t>
  </si>
  <si>
    <t xml:space="preserve">completionAndMoving.otherPropertyInChain</t>
  </si>
  <si>
    <t xml:space="preserve">B7.2</t>
  </si>
  <si>
    <t xml:space="preserve">14.1</t>
  </si>
  <si>
    <t xml:space="preserve">Standard asks about any dependent purchase, sale or remortgage, not only same-day.</t>
  </si>
  <si>
    <t xml:space="preserve">Special Requirements</t>
  </si>
  <si>
    <t xml:space="preserve">Does the seller have any special requirements about a moving date?</t>
  </si>
  <si>
    <t xml:space="preserve">completionAndMoving.moveRestrictionDates</t>
  </si>
  <si>
    <t xml:space="preserve">B7.3</t>
  </si>
  <si>
    <t xml:space="preserve">14.2</t>
  </si>
  <si>
    <t xml:space="preserve">Payment Of Mortgages And Charges After The Sales Of The Property</t>
  </si>
  <si>
    <t xml:space="preserve">Will the sale price be sufficient to repay all mortgages and charges secured on the property?</t>
  </si>
  <si>
    <t xml:space="preserve">completionAndMoving.sufficientToRepayAllMortgages</t>
  </si>
  <si>
    <t xml:space="preserve">B7.6</t>
  </si>
  <si>
    <t xml:space="preserve">14.3</t>
  </si>
  <si>
    <t xml:space="preserve">Seller Obligations</t>
  </si>
  <si>
    <t xml:space="preserve">Will the seller ensure that:</t>
  </si>
  <si>
    <t xml:space="preserve">completionAndMoving.sellerWillEnsure.removeRubbish</t>
  </si>
  <si>
    <t xml:space="preserve">B7.1.1</t>
  </si>
  <si>
    <t xml:space="preserve">14.4a</t>
  </si>
  <si>
    <t xml:space="preserve">completionAndMoving.sellerWillEnsure.replaceLightFittings</t>
  </si>
  <si>
    <t xml:space="preserve">B7.1.2</t>
  </si>
  <si>
    <t xml:space="preserve">14.4b</t>
  </si>
  <si>
    <t xml:space="preserve">completionAndMoving.sellerWillEnsure.takeReasonableCare</t>
  </si>
  <si>
    <t xml:space="preserve">B7.1.3</t>
  </si>
  <si>
    <t xml:space="preserve">14.4c</t>
  </si>
  <si>
    <t xml:space="preserve">completionAndMoving.sellerWillEnsure.leaveKeys</t>
  </si>
  <si>
    <t xml:space="preserve">B7.1.4</t>
  </si>
  <si>
    <t xml:space="preserve">14.4d</t>
  </si>
  <si>
    <t xml:space="preserve">15. Fixtures and Fittings</t>
  </si>
  <si>
    <t xml:space="preserve">Basic Fittings</t>
  </si>
  <si>
    <t xml:space="preserve">Boiler/Immersion Heater</t>
  </si>
  <si>
    <t xml:space="preserve">fixturesAndFittings.basicFittings.boilerImmersionHeater</t>
  </si>
  <si>
    <t xml:space="preserve">Radiators/Wall Heaters</t>
  </si>
  <si>
    <t xml:space="preserve">fixturesAndFittings.basicFittings.radiatorsWallHeaters</t>
  </si>
  <si>
    <t xml:space="preserve">Night-Storage Heaters</t>
  </si>
  <si>
    <t xml:space="preserve">fixturesAndFittings.basicFittings.nightStorageHeaters</t>
  </si>
  <si>
    <t xml:space="preserve">Free-Standing Heaters</t>
  </si>
  <si>
    <t xml:space="preserve">fixturesAndFittings.basicFittings.freeStandingHeaters</t>
  </si>
  <si>
    <t xml:space="preserve">GasFires (with surround)</t>
  </si>
  <si>
    <t xml:space="preserve">fixturesAndFittings.basicFittings.gasFiresWithSurround</t>
  </si>
  <si>
    <t xml:space="preserve">Electric Fires (with surround)</t>
  </si>
  <si>
    <t xml:space="preserve">fixturesAndFittings.basicFittings.electricFiresWithSurround</t>
  </si>
  <si>
    <t xml:space="preserve">Light Switches</t>
  </si>
  <si>
    <t xml:space="preserve">fixturesAndFittings.basicFittings.lightSwitches</t>
  </si>
  <si>
    <t xml:space="preserve">1.7</t>
  </si>
  <si>
    <t xml:space="preserve">Roof Insulation</t>
  </si>
  <si>
    <t xml:space="preserve">fixturesAndFittings.basicFittings.roofInsulation</t>
  </si>
  <si>
    <t xml:space="preserve">1.8</t>
  </si>
  <si>
    <t xml:space="preserve">Window Fittings</t>
  </si>
  <si>
    <t xml:space="preserve">fixturesAndFittings.basicFittings.windowFittings</t>
  </si>
  <si>
    <t xml:space="preserve">1.9</t>
  </si>
  <si>
    <t xml:space="preserve">Window Shutters/Grilles</t>
  </si>
  <si>
    <t xml:space="preserve">fixturesAndFittings.basicFittings.windowShuttersGrilles</t>
  </si>
  <si>
    <t xml:space="preserve">1.10</t>
  </si>
  <si>
    <t xml:space="preserve">Internal Door Fittings</t>
  </si>
  <si>
    <t xml:space="preserve">fixturesAndFittings.basicFittings.internalDoorFittings</t>
  </si>
  <si>
    <t xml:space="preserve">1.11</t>
  </si>
  <si>
    <t xml:space="preserve">External Door Fittings</t>
  </si>
  <si>
    <t xml:space="preserve">fixturesAndFittings.basicFittings.externalDoorFittings</t>
  </si>
  <si>
    <t xml:space="preserve">1.12</t>
  </si>
  <si>
    <t xml:space="preserve">Doorbell/Chime</t>
  </si>
  <si>
    <t xml:space="preserve">fixturesAndFittings.basicFittings.doorbellChime</t>
  </si>
  <si>
    <t xml:space="preserve">1.13</t>
  </si>
  <si>
    <t xml:space="preserve">Electric Sockets</t>
  </si>
  <si>
    <t xml:space="preserve">fixturesAndFittings.basicFittings.electricSockets</t>
  </si>
  <si>
    <t xml:space="preserve">1.14</t>
  </si>
  <si>
    <t xml:space="preserve">Burglar Alarm</t>
  </si>
  <si>
    <t xml:space="preserve">fixturesAndFittings.basicFittings.burglarAlarm</t>
  </si>
  <si>
    <t xml:space="preserve">1.15</t>
  </si>
  <si>
    <t xml:space="preserve">Other Basic Fittings</t>
  </si>
  <si>
    <t xml:space="preserve">fixturesAndFittings.basicFittings</t>
  </si>
  <si>
    <t xml:space="preserve">1</t>
  </si>
  <si>
    <t xml:space="preserve">Kitchen</t>
  </si>
  <si>
    <t xml:space="preserve">Hob</t>
  </si>
  <si>
    <t xml:space="preserve">fixturesAndFittings.kitchen.hob</t>
  </si>
  <si>
    <t xml:space="preserve">Extractor Hood</t>
  </si>
  <si>
    <t xml:space="preserve">fixturesAndFittings.kitchen.extractorHood</t>
  </si>
  <si>
    <t xml:space="preserve">Oven/Grill</t>
  </si>
  <si>
    <t xml:space="preserve">fixturesAndFittings.kitchen.ovenGrill</t>
  </si>
  <si>
    <t xml:space="preserve">2.3</t>
  </si>
  <si>
    <t xml:space="preserve">Cooker</t>
  </si>
  <si>
    <t xml:space="preserve">fixturesAndFittings.kitchen.cooker</t>
  </si>
  <si>
    <t xml:space="preserve">2.4</t>
  </si>
  <si>
    <t xml:space="preserve">Microwave</t>
  </si>
  <si>
    <t xml:space="preserve">fixturesAndFittings.kitchen.microwave</t>
  </si>
  <si>
    <t xml:space="preserve">2.5</t>
  </si>
  <si>
    <t xml:space="preserve">Refrigerator/Fridge-Freezer</t>
  </si>
  <si>
    <t xml:space="preserve">fixturesAndFittings.kitchen.refrigeratorFridgeFreezer</t>
  </si>
  <si>
    <t xml:space="preserve">2.6</t>
  </si>
  <si>
    <t xml:space="preserve">Freezer</t>
  </si>
  <si>
    <t xml:space="preserve">fixturesAndFittings.kitchen.freezer</t>
  </si>
  <si>
    <t xml:space="preserve">2.7</t>
  </si>
  <si>
    <t xml:space="preserve">Dishwasher</t>
  </si>
  <si>
    <t xml:space="preserve">fixturesAndFittings.kitchen.dishwasher</t>
  </si>
  <si>
    <t xml:space="preserve">2.8</t>
  </si>
  <si>
    <t xml:space="preserve">Tumble Dryer</t>
  </si>
  <si>
    <t xml:space="preserve">fixturesAndFittings.kitchen.tumbleDryer</t>
  </si>
  <si>
    <t xml:space="preserve">2.9</t>
  </si>
  <si>
    <t xml:space="preserve">Washing Machine</t>
  </si>
  <si>
    <t xml:space="preserve">fixturesAndFittings.kitchen.washingMachine</t>
  </si>
  <si>
    <t xml:space="preserve">2.10</t>
  </si>
  <si>
    <t xml:space="preserve">Other Kitchen Items</t>
  </si>
  <si>
    <t xml:space="preserve">fixturesAndFittings.kitchen</t>
  </si>
  <si>
    <t xml:space="preserve">2</t>
  </si>
  <si>
    <t xml:space="preserve">Bathroom</t>
  </si>
  <si>
    <t xml:space="preserve">Bath</t>
  </si>
  <si>
    <t xml:space="preserve">fixturesAndFittings.bathroom.bath</t>
  </si>
  <si>
    <t xml:space="preserve">3.1</t>
  </si>
  <si>
    <t xml:space="preserve">Shower Fitting for Bath</t>
  </si>
  <si>
    <t xml:space="preserve">fixturesAndFittings.bathroom.showerFittingForBath</t>
  </si>
  <si>
    <t xml:space="preserve">Shower Curtain</t>
  </si>
  <si>
    <t xml:space="preserve">fixturesAndFittings.bathroom.showerCurtain</t>
  </si>
  <si>
    <t xml:space="preserve">3.3</t>
  </si>
  <si>
    <t xml:space="preserve">Bathroom Cabinet</t>
  </si>
  <si>
    <t xml:space="preserve">fixturesAndFittings.bathroom.bathroomCabinet</t>
  </si>
  <si>
    <t xml:space="preserve">3.4</t>
  </si>
  <si>
    <t xml:space="preserve">Taps</t>
  </si>
  <si>
    <t xml:space="preserve">fixturesAndFittings.bathroom.taps</t>
  </si>
  <si>
    <t xml:space="preserve">3.5</t>
  </si>
  <si>
    <t xml:space="preserve">Separate Shower and Fittings</t>
  </si>
  <si>
    <t xml:space="preserve">fixturesAndFittings.bathroom.separateShowersAndFittings</t>
  </si>
  <si>
    <t xml:space="preserve">3.6</t>
  </si>
  <si>
    <t xml:space="preserve">Towel Rail</t>
  </si>
  <si>
    <t xml:space="preserve">fixturesAndFittings.bathroom.towelRail</t>
  </si>
  <si>
    <t xml:space="preserve">3.7</t>
  </si>
  <si>
    <t xml:space="preserve">Soap/Toothbrush Holders</t>
  </si>
  <si>
    <t xml:space="preserve">fixturesAndFittings.bathroom.soapToothbrushHolders</t>
  </si>
  <si>
    <t xml:space="preserve">3.8</t>
  </si>
  <si>
    <t xml:space="preserve">Toilet Roll Holders</t>
  </si>
  <si>
    <t xml:space="preserve">fixturesAndFittings.bathroom.toiletRollHolders</t>
  </si>
  <si>
    <t xml:space="preserve">3.9</t>
  </si>
  <si>
    <t xml:space="preserve">Bathroom Mirror</t>
  </si>
  <si>
    <t xml:space="preserve">fixturesAndFittings.bathroom.bathroomMirror</t>
  </si>
  <si>
    <t xml:space="preserve">3.10</t>
  </si>
  <si>
    <t xml:space="preserve">Other Bathroom Items</t>
  </si>
  <si>
    <t xml:space="preserve">fixturesAndFittings.bathroom</t>
  </si>
  <si>
    <t xml:space="preserve">Other bathroom items; no dedicated "other" list in the bathroom section, use otherItems.</t>
  </si>
  <si>
    <t xml:space="preserve">Carpets</t>
  </si>
  <si>
    <t xml:space="preserve">Hall, Stairs and Landing</t>
  </si>
  <si>
    <t xml:space="preserve">fixturesAndFittings.carpets.hallStairsLanding</t>
  </si>
  <si>
    <t xml:space="preserve">Living Room</t>
  </si>
  <si>
    <t xml:space="preserve">fixturesAndFittings.carpets.livingRoom</t>
  </si>
  <si>
    <t xml:space="preserve">4.2</t>
  </si>
  <si>
    <t xml:space="preserve">Dining Room</t>
  </si>
  <si>
    <t xml:space="preserve">fixturesAndFittings.carpets.diningRoom</t>
  </si>
  <si>
    <t xml:space="preserve">fixturesAndFittings.carpets.kitchen</t>
  </si>
  <si>
    <t xml:space="preserve">Bedroom 1</t>
  </si>
  <si>
    <t xml:space="preserve">fixturesAndFittings.carpets.bedroom1</t>
  </si>
  <si>
    <t xml:space="preserve">Bedroom 2</t>
  </si>
  <si>
    <t xml:space="preserve">fixturesAndFittings.carpets.bedroom2</t>
  </si>
  <si>
    <t xml:space="preserve">Bedroom 3</t>
  </si>
  <si>
    <t xml:space="preserve">fixturesAndFittings.carpets.bedroom3</t>
  </si>
  <si>
    <t xml:space="preserve">4.7</t>
  </si>
  <si>
    <t xml:space="preserve">Other Floor Coverings</t>
  </si>
  <si>
    <t xml:space="preserve">fixturesAndFittings.carpets.otherRooms</t>
  </si>
  <si>
    <t xml:space="preserve">4.8</t>
  </si>
  <si>
    <t xml:space="preserve">Curtains And Curtain Rails</t>
  </si>
  <si>
    <t xml:space="preserve">fixturesAndFittings.curtainsAndCurtainRails.curtainsBlinds.bedroom3</t>
  </si>
  <si>
    <t xml:space="preserve">5.18</t>
  </si>
  <si>
    <t xml:space="preserve">Answer options are Yes/No; TA10 needs Included / Excluded / None.</t>
  </si>
  <si>
    <t xml:space="preserve">fixturesAndFittings.curtainsAndCurtainRails.curtainRailsPolesPelmets.hallStairsLanding</t>
  </si>
  <si>
    <t xml:space="preserve">5.1</t>
  </si>
  <si>
    <t xml:space="preserve">fixturesAndFittings.curtainsAndCurtainRails.curtainsBlinds.hallStairsLanding</t>
  </si>
  <si>
    <t xml:space="preserve">5.12</t>
  </si>
  <si>
    <t xml:space="preserve">fixturesAndFittings.curtainsAndCurtainRails.curtainsBlinds.kitchen</t>
  </si>
  <si>
    <t xml:space="preserve">5.15</t>
  </si>
  <si>
    <t xml:space="preserve">fixturesAndFittings.curtainsAndCurtainRails.curtainsBlinds.diningRoom</t>
  </si>
  <si>
    <t xml:space="preserve">5.14</t>
  </si>
  <si>
    <t xml:space="preserve">fixturesAndFittings.curtainsAndCurtainRails.curtainsBlinds.bedroom1</t>
  </si>
  <si>
    <t xml:space="preserve">5.16</t>
  </si>
  <si>
    <t xml:space="preserve">fixturesAndFittings.curtainsAndCurtainRails.curtainsBlinds.bedroom2</t>
  </si>
  <si>
    <t xml:space="preserve">5.17</t>
  </si>
  <si>
    <t xml:space="preserve">Other Rooms</t>
  </si>
  <si>
    <t xml:space="preserve">fixturesAndFittings.curtainsAndCurtainRails.curtainsBlinds.otherRooms</t>
  </si>
  <si>
    <t xml:space="preserve">5.19</t>
  </si>
  <si>
    <t xml:space="preserve">fixturesAndFittings.curtainsAndCurtainRails.curtainsBlinds.livingRoom</t>
  </si>
  <si>
    <t xml:space="preserve">5.13</t>
  </si>
  <si>
    <t xml:space="preserve">fixturesAndFittings.curtainsAndCurtainRails.curtainRailsPolesPelmets.livingRoom</t>
  </si>
  <si>
    <t xml:space="preserve">5.2</t>
  </si>
  <si>
    <t xml:space="preserve">fixturesAndFittings.curtainsAndCurtainRails.curtainRailsPolesPelmets.diningRoom</t>
  </si>
  <si>
    <t xml:space="preserve">5.3</t>
  </si>
  <si>
    <t xml:space="preserve">fixturesAndFittings.curtainsAndCurtainRails.curtainRailsPolesPelmets.kitchen</t>
  </si>
  <si>
    <t xml:space="preserve">5.4</t>
  </si>
  <si>
    <t xml:space="preserve">fixturesAndFittings.curtainsAndCurtainRails.curtainRailsPolesPelmets.bedroom1</t>
  </si>
  <si>
    <t xml:space="preserve">5.5</t>
  </si>
  <si>
    <t xml:space="preserve">fixturesAndFittings.curtainsAndCurtainRails.curtainRailsPolesPelmets.bedroom2</t>
  </si>
  <si>
    <t xml:space="preserve">5.6</t>
  </si>
  <si>
    <t xml:space="preserve">fixturesAndFittings.curtainsAndCurtainRails.curtainRailsPolesPelmets.bedroom3</t>
  </si>
  <si>
    <t xml:space="preserve">5.7</t>
  </si>
  <si>
    <t xml:space="preserve">fixturesAndFittings.curtainsAndCurtainRails.curtainRailsPolesPelmets.otherRooms</t>
  </si>
  <si>
    <t xml:space="preserve">5.8</t>
  </si>
  <si>
    <t xml:space="preserve">Light Fittings</t>
  </si>
  <si>
    <t xml:space="preserve">fixturesAndFittings.lightFittings.hallStairsLanding</t>
  </si>
  <si>
    <t xml:space="preserve">fixturesAndFittings.lightFittings.livingRoom</t>
  </si>
  <si>
    <t xml:space="preserve">6.2</t>
  </si>
  <si>
    <t xml:space="preserve">fixturesAndFittings.lightFittings.diningRoom</t>
  </si>
  <si>
    <t xml:space="preserve">fixturesAndFittings.lightFittings.kitchen</t>
  </si>
  <si>
    <t xml:space="preserve">6.4</t>
  </si>
  <si>
    <t xml:space="preserve">fixturesAndFittings.lightFittings.bedroom1</t>
  </si>
  <si>
    <t xml:space="preserve">fixturesAndFittings.lightFittings.bedroom2</t>
  </si>
  <si>
    <t xml:space="preserve">6.6</t>
  </si>
  <si>
    <t xml:space="preserve">fixturesAndFittings.lightFittings.bedroom3</t>
  </si>
  <si>
    <t xml:space="preserve">6.7</t>
  </si>
  <si>
    <t xml:space="preserve">Other Light Fittings</t>
  </si>
  <si>
    <t xml:space="preserve">fixturesAndFittings.lightFittings.otherRooms[].itemName</t>
  </si>
  <si>
    <t xml:space="preserve">6.8</t>
  </si>
  <si>
    <t xml:space="preserve">Fitted Units</t>
  </si>
  <si>
    <t xml:space="preserve">fixturesAndFittings.fittedUnits.hallStairsLanding</t>
  </si>
  <si>
    <t xml:space="preserve">fixturesAndFittings.fittedUnits.livingRoom</t>
  </si>
  <si>
    <t xml:space="preserve">7.2</t>
  </si>
  <si>
    <t xml:space="preserve">fixturesAndFittings.fittedUnits.diningRoom</t>
  </si>
  <si>
    <t xml:space="preserve">7.3</t>
  </si>
  <si>
    <t xml:space="preserve">fixturesAndFittings.fittedUnits.kitchen</t>
  </si>
  <si>
    <t xml:space="preserve">fixturesAndFittings.fittedUnits.bedroom1</t>
  </si>
  <si>
    <t xml:space="preserve">fixturesAndFittings.fittedUnits.bedroom2</t>
  </si>
  <si>
    <t xml:space="preserve">7.6</t>
  </si>
  <si>
    <t xml:space="preserve">fixturesAndFittings.fittedUnits.bedroom3</t>
  </si>
  <si>
    <t xml:space="preserve">7.7</t>
  </si>
  <si>
    <t xml:space="preserve">Other Fitted Storage</t>
  </si>
  <si>
    <t xml:space="preserve">fixturesAndFittings.fittedUnits.otherRooms[].itemName</t>
  </si>
  <si>
    <t xml:space="preserve">Outdoor Area</t>
  </si>
  <si>
    <t xml:space="preserve">Garden Furniture</t>
  </si>
  <si>
    <t xml:space="preserve">fixturesAndFittings.outdoorArea.gardenFurniture</t>
  </si>
  <si>
    <t xml:space="preserve">Garden Ornaments</t>
  </si>
  <si>
    <t xml:space="preserve">fixturesAndFittings.outdoorArea.gardenOrnaments</t>
  </si>
  <si>
    <t xml:space="preserve">Trees, Plants, Shrubs</t>
  </si>
  <si>
    <t xml:space="preserve">fixturesAndFittings.outdoorArea.treesPlantsShrubs</t>
  </si>
  <si>
    <t xml:space="preserve">Barbecue</t>
  </si>
  <si>
    <t xml:space="preserve">fixturesAndFittings.outdoorArea.barbecue</t>
  </si>
  <si>
    <t xml:space="preserve">Dustbins</t>
  </si>
  <si>
    <t xml:space="preserve">fixturesAndFittings.outdoorArea.dustbins</t>
  </si>
  <si>
    <t xml:space="preserve">8.5</t>
  </si>
  <si>
    <t xml:space="preserve">Garden Shed</t>
  </si>
  <si>
    <t xml:space="preserve">fixturesAndFittings.outdoorArea.gardenShed</t>
  </si>
  <si>
    <t xml:space="preserve">fixturesAndFittings.outdoorArea.greenhouse</t>
  </si>
  <si>
    <t xml:space="preserve">Labelled "Bedroom 3" in UMU data but the help text describes a greenhouse. Fix the label.</t>
  </si>
  <si>
    <t xml:space="preserve">Outdoor Heater</t>
  </si>
  <si>
    <t xml:space="preserve">fixturesAndFittings.outdoorArea.outdoorHeater</t>
  </si>
  <si>
    <t xml:space="preserve">Outside Lights</t>
  </si>
  <si>
    <t xml:space="preserve">fixturesAndFittings.outdoorArea.outdoorLights</t>
  </si>
  <si>
    <t xml:space="preserve">Water Butt</t>
  </si>
  <si>
    <t xml:space="preserve">fixturesAndFittings.outdoorArea.waterButt</t>
  </si>
  <si>
    <t xml:space="preserve">8.10</t>
  </si>
  <si>
    <t xml:space="preserve">Clothes Line</t>
  </si>
  <si>
    <t xml:space="preserve">fixturesAndFittings.outdoorArea.clothesLine</t>
  </si>
  <si>
    <t xml:space="preserve">8.11</t>
  </si>
  <si>
    <t xml:space="preserve">fixturesAndFittings.outdoorArea.rotaryLine</t>
  </si>
  <si>
    <t xml:space="preserve">8.12</t>
  </si>
  <si>
    <t xml:space="preserve">Labelled "Bedroom 3" in UMU data but the help text describes a rotary line. Fix the label.</t>
  </si>
  <si>
    <t xml:space="preserve">Other Outdoor Items</t>
  </si>
  <si>
    <t xml:space="preserve">fixturesAndFittings.outdoorArea</t>
  </si>
  <si>
    <t xml:space="preserve">8</t>
  </si>
  <si>
    <t xml:space="preserve">Television And Telephone</t>
  </si>
  <si>
    <t xml:space="preserve">Telephone Receivers</t>
  </si>
  <si>
    <t xml:space="preserve">fixturesAndFittings.televisionAndTelephone.telephoneReceivers</t>
  </si>
  <si>
    <t xml:space="preserve">Television Aerial</t>
  </si>
  <si>
    <t xml:space="preserve">fixturesAndFittings.televisionAndTelephone.televisionAerial</t>
  </si>
  <si>
    <t xml:space="preserve">Radio Aerial</t>
  </si>
  <si>
    <t xml:space="preserve">fixturesAndFittings.televisionAndTelephone.radioAerial</t>
  </si>
  <si>
    <t xml:space="preserve">9.3</t>
  </si>
  <si>
    <t xml:space="preserve">Satellite Dish</t>
  </si>
  <si>
    <t xml:space="preserve">fixturesAndFittings.televisionAndTelephone.satelliteDish</t>
  </si>
  <si>
    <t xml:space="preserve">9.4</t>
  </si>
  <si>
    <t xml:space="preserve">Stock Of Fuels</t>
  </si>
  <si>
    <t xml:space="preserve">Oil</t>
  </si>
  <si>
    <t xml:space="preserve">fixturesAndFittings.stockOfFuel.oil</t>
  </si>
  <si>
    <t xml:space="preserve">Wood</t>
  </si>
  <si>
    <t xml:space="preserve">fixturesAndFittings.stockOfFuel.wood</t>
  </si>
  <si>
    <t xml:space="preserve">10.2</t>
  </si>
  <si>
    <t xml:space="preserve">Liquefied Petroleum Gas (LPG)</t>
  </si>
  <si>
    <t xml:space="preserve">fixturesAndFittings.stockOfFuel.lpg</t>
  </si>
  <si>
    <t xml:space="preserve">10.3</t>
  </si>
  <si>
    <t xml:space="preserve">Other Items</t>
  </si>
  <si>
    <t xml:space="preserve">fixturesAndFittings.otherItems</t>
  </si>
  <si>
    <t xml:space="preserve">11</t>
  </si>
  <si>
    <t xml:space="preserve">16. Leasehold</t>
  </si>
  <si>
    <t xml:space="preserve">The Property</t>
  </si>
  <si>
    <t xml:space="preserve">What type of leasehold property does the seller own?</t>
  </si>
  <si>
    <t xml:space="preserve">Leasehold sub-type (flat, shared ownership, house) needs a mapping rule.</t>
  </si>
  <si>
    <t xml:space="preserve">Does the seller pay rent for the property?</t>
  </si>
  <si>
    <t xml:space="preserve">ownership.ownershipsToBeTransferred[].leaseholdInformation.groundRent.isGroundRentPayable</t>
  </si>
  <si>
    <t xml:space="preserve">A1.4.2.1</t>
  </si>
  <si>
    <t xml:space="preserve">1.2.1</t>
  </si>
  <si>
    <t xml:space="preserve">Is the rent subject to increase?</t>
  </si>
  <si>
    <t xml:space="preserve">ownership.ownershipsToBeTransferred[].leaseholdInformation.groundRent.rentSubjectToIncrease</t>
  </si>
  <si>
    <t xml:space="preserve">A1.4.2.3</t>
  </si>
  <si>
    <t xml:space="preserve">1.2c</t>
  </si>
  <si>
    <t xml:space="preserve">Ownership And Management</t>
  </si>
  <si>
    <t xml:space="preserve">Who owns the freehold?</t>
  </si>
  <si>
    <t xml:space="preserve">ownership.ownershipsToBeTransferred[].leaseholdInformation.ownershipAndManagement.freeholdOwner</t>
  </si>
  <si>
    <t xml:space="preserve">2.1b</t>
  </si>
  <si>
    <t xml:space="preserve">Is there a headlease?</t>
  </si>
  <si>
    <t xml:space="preserve">ownership.ownershipsToBeTransferred[].leaseholdInformation.ownershipAndManagement.hasHeadlease</t>
  </si>
  <si>
    <t xml:space="preserve">Who is responsible for managing the building?</t>
  </si>
  <si>
    <t xml:space="preserve">ownership.ownershipsToBeTransferred[].leaseholdInformation.ownershipAndManagement.buildingManager</t>
  </si>
  <si>
    <t xml:space="preserve">Has any tenants' management company been dissolved or struck off the register at Companies House?</t>
  </si>
  <si>
    <t xml:space="preserve">ownership.ownershipsToBeTransferred[].leaseholdInformation.ownershipAndManagement.hasTenantCompanyDissolved</t>
  </si>
  <si>
    <t xml:space="preserve">Does the landlord, tenants' management company or Right to Manage company employ a managing agent to collect rent or manage the building?</t>
  </si>
  <si>
    <t xml:space="preserve">ownership.ownershipsToBeTransferred[].leaseholdInformation.ownershipAndManagement.isManagingAgentEmployed</t>
  </si>
  <si>
    <t xml:space="preserve">Documents</t>
  </si>
  <si>
    <t xml:space="preserve">Please supply a copy of the lease and any supplemental deeds.</t>
  </si>
  <si>
    <t xml:space="preserve">ownership.ownershipsToBeTransferred[].leaseholdInformation.requiredDocuments.lease</t>
  </si>
  <si>
    <t xml:space="preserve">3.1a</t>
  </si>
  <si>
    <t xml:space="preserve">Please supply a copy of any regulations made by the landlord or by the tenants management company additional to those in the lease</t>
  </si>
  <si>
    <t xml:space="preserve">Please supply a copy of any correspondence from the landlord, any management company and any managing agent.</t>
  </si>
  <si>
    <t xml:space="preserve">ownership.ownershipsToBeTransferred[].leaseholdInformation.requiredDocuments.copyOfcorrespondence</t>
  </si>
  <si>
    <t xml:space="preserve">Please supply a copy of any invoices or demands and any statements and receipts for the payment of maintenance or service charges for the last three years.</t>
  </si>
  <si>
    <t xml:space="preserve">ownership.ownershipsToBeTransferred[].leaseholdInformation.requiredDocuments.serviceCharges</t>
  </si>
  <si>
    <t xml:space="preserve">3.3a</t>
  </si>
  <si>
    <t xml:space="preserve">Please supply a copy of any invoices or demands and any statements and receipts for the payment of ground rent for the last three years</t>
  </si>
  <si>
    <t xml:space="preserve">ownership.ownershipsToBeTransferred[].leaseholdInformation.requiredDocuments.groundRent</t>
  </si>
  <si>
    <t xml:space="preserve">3.3b</t>
  </si>
  <si>
    <t xml:space="preserve">Please supply a copy of the buildings insurance policy arranged by the seller and a receipt for payment of the last premium</t>
  </si>
  <si>
    <t xml:space="preserve">ownership.ownershipsToBeTransferred[].leaseholdInformation.requiredDocuments.buildingsInsurancePolicy.arrangedBySeller</t>
  </si>
  <si>
    <t xml:space="preserve">3.4a</t>
  </si>
  <si>
    <t xml:space="preserve">Please supply a copy of the buildings insurance policy arranged by the landlord or management company and the schedule for the current year</t>
  </si>
  <si>
    <t xml:space="preserve">ownership.ownershipsToBeTransferred[].leaseholdInformation.requiredDocuments.buildingsInsurancePolicy.arrangedByLandlord</t>
  </si>
  <si>
    <t xml:space="preserve">3.4b</t>
  </si>
  <si>
    <t xml:space="preserve">If a landlord is a company controlled by the tenants and/or if a tenants management company or Right to Manage company is managing the building, please supply a copy of the Memorandum and Articles of Association</t>
  </si>
  <si>
    <t xml:space="preserve">ownership.ownershipsToBeTransferred[].leaseholdInformation.requiredDocuments.managementCompanyDocuments</t>
  </si>
  <si>
    <t xml:space="preserve">If a landlord is a company controlled by the tenants and/or if a tenants management company or Right to Manage company is managing the building, please supply a copy of the share or membership certificate</t>
  </si>
  <si>
    <t xml:space="preserve">If a landlord is a company controlled by the tenants and/or if a tenants management company or Right to Manage company is managing the building, please supply a copy of the company accounts for the past three years</t>
  </si>
  <si>
    <t xml:space="preserve">Contact Details</t>
  </si>
  <si>
    <t xml:space="preserve">Please supply contact details for The landlord</t>
  </si>
  <si>
    <t xml:space="preserve">ownership.ownershipsToBeTransferred[].leaseholdInformation.contactDetails.contacts.landlord</t>
  </si>
  <si>
    <t xml:space="preserve">A1.5.5</t>
  </si>
  <si>
    <t xml:space="preserve">4.1a</t>
  </si>
  <si>
    <t xml:space="preserve">Please supply contact details for Management or Right to Manage Company</t>
  </si>
  <si>
    <t xml:space="preserve">ownership.ownershipsToBeTransferred[].leaseholdInformation.contactDetails.contacts.managementCompany</t>
  </si>
  <si>
    <t xml:space="preserve">4.1b</t>
  </si>
  <si>
    <t xml:space="preserve">Please supply contact details for Managing agent</t>
  </si>
  <si>
    <t xml:space="preserve">ownership.ownershipsToBeTransferred[].leaseholdInformation.contactDetails.contacts.managingAgent</t>
  </si>
  <si>
    <t xml:space="preserve">A1.5.6</t>
  </si>
  <si>
    <t xml:space="preserve">4.1c</t>
  </si>
  <si>
    <t xml:space="preserve">Maintenance And Service Charges</t>
  </si>
  <si>
    <t xml:space="preserve">Who is responsible for arranging the buildings insurance on the property?</t>
  </si>
  <si>
    <t xml:space="preserve">ownership.ownershipsToBeTransferred[].leaseholdInformation.buildingsInsurance</t>
  </si>
  <si>
    <t xml:space="preserve">Related document request is Q234/235.</t>
  </si>
  <si>
    <t xml:space="preserve">In what year was the outside of the building last decorated?</t>
  </si>
  <si>
    <t xml:space="preserve">ownership.ownershipsToBeTransferred[].leaseholdInformation.serviceCharge.lastDecoratedPeriod.externally</t>
  </si>
  <si>
    <t xml:space="preserve">In what year were any internal communal parts last decorated?</t>
  </si>
  <si>
    <t xml:space="preserve">ownership.ownershipsToBeTransferred[].leaseholdInformation.serviceCharge.lastDecoratedPeriod.internally</t>
  </si>
  <si>
    <t xml:space="preserve">Does the seller contribute to the cost of maintaining the building?</t>
  </si>
  <si>
    <t xml:space="preserve">ownership.ownershipsToBeTransferred[].leaseholdInformation.serviceCharge.sellerContributesToServiceCharge</t>
  </si>
  <si>
    <t xml:space="preserve">A1.5.1.1</t>
  </si>
  <si>
    <t xml:space="preserve">Does the seller know of any expense likely to be shown in the service charge accounts within the next three years?</t>
  </si>
  <si>
    <t xml:space="preserve">ownership.ownershipsToBeTransferred[].leaseholdInformation.serviceCharge.largeAdditionalExpense</t>
  </si>
  <si>
    <t xml:space="preserve">A1.5.2.1</t>
  </si>
  <si>
    <t xml:space="preserve">Does the seller know of any problems in the last three years regarding the level of service charges or with the management?</t>
  </si>
  <si>
    <t xml:space="preserve">ownership.ownershipsToBeTransferred[].leaseholdInformation.serviceCharge.problemInServiceChargeLevel</t>
  </si>
  <si>
    <t xml:space="preserve">Has the seller challenged the service charge or any expense in the last three years?</t>
  </si>
  <si>
    <t xml:space="preserve">ownership.ownershipsToBeTransferred[].leaseholdInformation.serviceCharge.serviceChargeChallenged</t>
  </si>
  <si>
    <t xml:space="preserve">Does the seller know of the existence or suspected existence in the building of cladding or any defects that may create a building safety risk?</t>
  </si>
  <si>
    <t xml:space="preserve">ownership.ownershipsToBeTransferred[].leaseholdInformation.serviceCharge.dangerousCladdingOrDefects</t>
  </si>
  <si>
    <t xml:space="preserve">Is the seller aware of any difficulties encountered in collecting the service charges from other flat owners?</t>
  </si>
  <si>
    <t xml:space="preserve">ownership.ownershipsToBeTransferred[].leaseholdInformation.serviceCharge.difficultyInCollectingServiceCharge</t>
  </si>
  <si>
    <t xml:space="preserve">5.9</t>
  </si>
  <si>
    <t xml:space="preserve">Does the seller owe any service charges, rent, insurance premium or other financial contribution?</t>
  </si>
  <si>
    <t xml:space="preserve">ownership.ownershipsToBeTransferred[].leaseholdInformation.serviceCharge.serviceChargeOwed</t>
  </si>
  <si>
    <t xml:space="preserve">5.10</t>
  </si>
  <si>
    <t xml:space="preserve">Duplicate of Q245.</t>
  </si>
  <si>
    <t xml:space="preserve">Notices</t>
  </si>
  <si>
    <t xml:space="preserve">Has the seller received a notice that the landlord wants to sell the building?</t>
  </si>
  <si>
    <t xml:space="preserve">ownership.ownershipsToBeTransferred[].leaseholdInformation.requiredDocuments.noticeOfSale</t>
  </si>
  <si>
    <t xml:space="preserve">Has the seller received any other notice about the building, its use, its condition or its repair and maintenance?</t>
  </si>
  <si>
    <t xml:space="preserve">ownership.ownershipsToBeTransferred[].leaseholdInformation.requiredDocuments.noticeOfBuildingCondition</t>
  </si>
  <si>
    <t xml:space="preserve">Consents</t>
  </si>
  <si>
    <t xml:space="preserve">Is the seller aware of any changes in the terms of the lease or of the landlord giving any consents under the lease?</t>
  </si>
  <si>
    <t xml:space="preserve">ownership.ownershipsToBeTransferred[].leaseholdInformation.consents.changesInTermOfLease</t>
  </si>
  <si>
    <t xml:space="preserve">Complaints</t>
  </si>
  <si>
    <t xml:space="preserve">Has the seller received any complaint from the landlord, the management company or any neighbour about anything the seller has or has not done?</t>
  </si>
  <si>
    <t xml:space="preserve">ownership.ownershipsToBeTransferred[].leaseholdInformation.disputes.sellerReceivedComplaint</t>
  </si>
  <si>
    <t xml:space="preserve">Has the seller complained or had cause to complain to or about the landlord, the management company, or any neighbour?</t>
  </si>
  <si>
    <t xml:space="preserve">ownership.ownershipsToBeTransferred[].leaseholdInformation.disputes.sellerSentComplaint</t>
  </si>
  <si>
    <t xml:space="preserve">Alterations</t>
  </si>
  <si>
    <t xml:space="preserve">Is the seller aware of any alterations having been made to the property since the lease was originally granted?</t>
  </si>
  <si>
    <t xml:space="preserve">ownership.ownershipsToBeTransferred[].leaseholdInformation.alterations.sellerAwareOfAlterations</t>
  </si>
  <si>
    <t xml:space="preserve">Was the landlords consent for the alterations obtained?</t>
  </si>
  <si>
    <t xml:space="preserve">ownership.ownershipsToBeTransferred[].leaseholdInformation.alterations.sellerAwareOfAlterations.landlordConsentObtained</t>
  </si>
  <si>
    <t xml:space="preserve">Enfranchisement</t>
  </si>
  <si>
    <t xml:space="preserve">Has the seller owned the property for at least two years?</t>
  </si>
  <si>
    <t xml:space="preserve">ownership.ownershipsToBeTransferred[].leaseholdInformation.enfranchisement.sellerOwnedProperty</t>
  </si>
  <si>
    <t xml:space="preserve">Has the seller served on the landlord a formal notice stating the sellers wish to buy the freehold or be granted an extended lease?</t>
  </si>
  <si>
    <t xml:space="preserve">ownership.ownershipsToBeTransferred[].leaseholdInformation.enfranchisement.sellerServedNoticeOnLandlord</t>
  </si>
  <si>
    <t xml:space="preserve">Is the seller aware of the service of any notice relating to the possible collective purchase of the freehold of the building or part of it by a group of tenants?</t>
  </si>
  <si>
    <t xml:space="preserve">ownership.ownershipsToBeTransferred[].leaseholdInformation.enfranchisement.sellerAwareOfNoticeOfCollectivePurchase</t>
  </si>
  <si>
    <t xml:space="preserve">Has there been any response to freehold/lease extension notices - either your own formal notices or any collective tenant group notices?</t>
  </si>
  <si>
    <t xml:space="preserve">ownership.ownershipsToBeTransferred[].leaseholdInformation.enfranchisement.sellerAwareOfResponse</t>
  </si>
  <si>
    <t xml:space="preserve">10.4</t>
  </si>
  <si>
    <t xml:space="preserve">Building Safety Cladding And The Leaseholder Deed Of Certificate</t>
  </si>
  <si>
    <t xml:space="preserve">Have any remediation works on the building been proposed or carried out?</t>
  </si>
  <si>
    <t xml:space="preserve">typeOfConstruction.buildingSafety</t>
  </si>
  <si>
    <t xml:space="preserve">A1.8.2</t>
  </si>
  <si>
    <t xml:space="preserve">Building safety remediation; also relates to TA7 section 11.</t>
  </si>
  <si>
    <t xml:space="preserve">Is the lease of the property a qualifying lease?</t>
  </si>
  <si>
    <t xml:space="preserve">ownership.ownershipsToBeTransferred[].leaseholdInformation.buildingSafetyAct.isLeaseQualifying</t>
  </si>
  <si>
    <t xml:space="preserve">11.2</t>
  </si>
  <si>
    <t xml:space="preserve">Is there a Leaseholder Deed of Certificate for the property?</t>
  </si>
  <si>
    <t xml:space="preserve">ownership.ownershipsToBeTransferred[].leaseholdInformation.buildingSafetyAct.deedOfCertificateServed</t>
  </si>
  <si>
    <t xml:space="preserve">11.3</t>
  </si>
  <si>
    <t xml:space="preserve">Did the seller (the current leaseholder) complete the deed of certificate or was it completed by a previous leaseholder?</t>
  </si>
  <si>
    <t xml:space="preserve">ownership.ownershipsToBeTransferred[].leaseholdInformation.buildingSafetyAct.deedOfCertificateServed.sellerCompletedDeedOfCertificate</t>
  </si>
  <si>
    <t xml:space="preserve">11.3a</t>
  </si>
  <si>
    <t xml:space="preserve">Please supply a copy of the leaseholder deed of certificate and the accompanying evidence.</t>
  </si>
  <si>
    <t xml:space="preserve">Has the freeholder / landlord been notified of the intention to sell?</t>
  </si>
  <si>
    <t xml:space="preserve">ownership.ownershipsToBeTransferred[].leaseholdInformation.buildingSafetyAct.landlordNotifiedOfSale</t>
  </si>
  <si>
    <t xml:space="preserve">Has the seller received a Landlords Certificate and the accompanying evidence?</t>
  </si>
  <si>
    <t xml:space="preserve">ownership.ownershipsToBeTransferred[].leaseholdInformation.buildingSafetyAct.landlordsCertificateServed</t>
  </si>
  <si>
    <t xml:space="preserve">11.5</t>
  </si>
  <si>
    <t xml:space="preserve">17. Title Register and Plan</t>
  </si>
  <si>
    <t xml:space="preserve">Title Deeds Review</t>
  </si>
  <si>
    <t xml:space="preserve">Do you have a copy of the Official Copy of the Register (Title Register)?</t>
  </si>
  <si>
    <t xml:space="preserve">titlesToBeSold[].registerExtract</t>
  </si>
  <si>
    <t xml:space="preserve">Can be pulled automatically from HM Land Registry rather than uploaded.</t>
  </si>
  <si>
    <t xml:space="preserve">Do you have a copy of the Title Plan?</t>
  </si>
  <si>
    <t xml:space="preserve">titlesToBeSold[].titleExtents</t>
  </si>
  <si>
    <t xml:space="preserve">18. Searches</t>
  </si>
  <si>
    <t xml:space="preserve">Searches Review</t>
  </si>
  <si>
    <t xml:space="preserve">Have there been any planning notices or proposals?</t>
  </si>
  <si>
    <t xml:space="preserve">localSearches.localAuthoritySearches.planningAndBuildingRegulations</t>
  </si>
  <si>
    <t xml:space="preserve">Search result data, not a seller question.</t>
  </si>
  <si>
    <t xml:space="preserve">Drainage Water Search</t>
  </si>
  <si>
    <t xml:space="preserve">Please upload your Drainage &amp; Water Search.</t>
  </si>
  <si>
    <t xml:space="preserve">waterAndDrainage</t>
  </si>
  <si>
    <t xml:space="preserve">13</t>
  </si>
  <si>
    <t xml:space="preserve">CON29DW data maps to the con29DW overlay.</t>
  </si>
  <si>
    <t xml:space="preserve">Environmental Search</t>
  </si>
  <si>
    <t xml:space="preserve">Please upload your Environmental Search.</t>
  </si>
  <si>
    <t xml:space="preserve">environmentalIssues</t>
  </si>
  <si>
    <t xml:space="preserve">A11.1</t>
  </si>
  <si>
    <t xml:space="preserve">7</t>
  </si>
  <si>
    <t xml:space="preserve">Environmental search data.</t>
  </si>
  <si>
    <t xml:space="preserve">Flood Search</t>
  </si>
  <si>
    <t xml:space="preserve">Please upload your Flood Search.</t>
  </si>
  <si>
    <t xml:space="preserve">Flood search data.</t>
  </si>
  <si>
    <t xml:space="preserve">Local Authority Search</t>
  </si>
  <si>
    <t xml:space="preserve">Please upload your Local Authority Search.</t>
  </si>
  <si>
    <t xml:space="preserve">localSearches.localAuthoritySearches</t>
  </si>
  <si>
    <t xml:space="preserve">LLC1 and CON29R overlays.</t>
  </si>
  <si>
    <t xml:space="preserve">Mining Risk Search</t>
  </si>
  <si>
    <t xml:space="preserve">Please upload your Mining / Local Risk Search.</t>
  </si>
  <si>
    <t xml:space="preserve">environmentalIssues.coalMining</t>
  </si>
  <si>
    <t xml:space="preserve">Mining search data.</t>
  </si>
  <si>
    <t xml:space="preserve">Current question</t>
  </si>
  <si>
    <t xml:space="preserve">Proposed question</t>
  </si>
  <si>
    <t xml:space="preserve">Proposed helper text</t>
  </si>
  <si>
    <t xml:space="preserve">Proposed follow-up</t>
  </si>
  <si>
    <t xml:space="preserve">Maps to (PDTF path)</t>
  </si>
  <si>
    <t xml:space="preserve">Approved?</t>
  </si>
  <si>
    <t xml:space="preserve">Upload your Energy Performance Certificate (EPC).</t>
  </si>
  <si>
    <t xml:space="preserve">We can often find this for you on the government EPC register. It shows how energy-efficient your home is.</t>
  </si>
  <si>
    <t xml:space="preserve">Who owns the freehold of your building?</t>
  </si>
  <si>
    <t xml:space="preserve">Choose one: a residents' company that you and the other flat owners control, or someone else (an individual or a company the residents don't control).</t>
  </si>
  <si>
    <t xml:space="preserve">Merge Q223 and Q224 into one choice question.</t>
  </si>
  <si>
    <t xml:space="preserve">(Merged into Q223)</t>
  </si>
  <si>
    <t xml:space="preserve">Remove once merged.</t>
  </si>
  <si>
    <t xml:space="preserve">Is there a head lease between your landlord and the freeholder?</t>
  </si>
  <si>
    <t xml:space="preserve">Some buildings have a middle layer: the freeholder leases the whole building to a head leaseholder, who then grants your lease. Your lease or title register will say if so.</t>
  </si>
  <si>
    <t xml:space="preserve">If yes: is the head leaseholder a company that the residents control?</t>
  </si>
  <si>
    <t xml:space="preserve">Who looks after the day-to-day running of your building?</t>
  </si>
  <si>
    <t xml:space="preserve">Choose all that apply, for example the freeholder, a residents' company or a managing agent.</t>
  </si>
  <si>
    <t xml:space="preserve">Has a residents' management company for your building ever been closed down or removed from the Companies House register?</t>
  </si>
  <si>
    <t xml:space="preserve">If you're not sure, you can search the company name free on Companies House.</t>
  </si>
  <si>
    <t xml:space="preserve">If yes: tell us what happened and when.</t>
  </si>
  <si>
    <t xml:space="preserve">Is a managing agent used to collect rent or service charges, or to look after the building?</t>
  </si>
  <si>
    <t xml:space="preserve">A managing agent is a firm paid by the landlord or residents' company to run the building.</t>
  </si>
  <si>
    <t xml:space="preserve">If yes: add their contact details.</t>
  </si>
  <si>
    <t xml:space="preserve">Upload your lease, plus any later documents that changed it.</t>
  </si>
  <si>
    <t xml:space="preserve">Later documents might be called a deed of variation or supplemental deed.</t>
  </si>
  <si>
    <t xml:space="preserve">Does your landlord or residents' company have extra building rules beyond those in your lease? If so, upload them.</t>
  </si>
  <si>
    <t xml:space="preserve">For example rules about pets, bins, parking or flooring.</t>
  </si>
  <si>
    <t xml:space="preserve">Current helper text talks about septic tanks; replace it.</t>
  </si>
  <si>
    <t xml:space="preserve">Upload any letters or emails you've had from the landlord, management company or managing agent.</t>
  </si>
  <si>
    <t xml:space="preserve">Anything that mentions works, costs, complaints, disputes or changes to how the building is run is especially useful to a buyer.</t>
  </si>
  <si>
    <t xml:space="preserve">Upload your service charge bills, statements and payment receipts from the last three years.</t>
  </si>
  <si>
    <t xml:space="preserve">Upload your ground rent bills, statements and payment receipts from the last three years.</t>
  </si>
  <si>
    <t xml:space="preserve">If you insure the building yourself, upload your policy and proof you paid the latest premium.</t>
  </si>
  <si>
    <t xml:space="preserve">If your landlord or management company insures the building, upload this year's policy schedule.</t>
  </si>
  <si>
    <t xml:space="preserve">You can usually ask your managing agent for a copy.</t>
  </si>
  <si>
    <t xml:space="preserve">If the residents own or run the building through a company, upload the company's Memorandum and Articles of Association.</t>
  </si>
  <si>
    <t xml:space="preserve">These are the company's rule book. The company secretary or managing agent will have a copy.</t>
  </si>
  <si>
    <t xml:space="preserve">One question could collect Q236 to Q238 as three uploads.</t>
  </si>
  <si>
    <t xml:space="preserve">If the residents own or run the building through a company, upload your share or membership certificate.</t>
  </si>
  <si>
    <t xml:space="preserve">This shows you are a member of the company.</t>
  </si>
  <si>
    <t xml:space="preserve">Current helper text is fine. Consider combining with Q236 and Q238.</t>
  </si>
  <si>
    <t xml:space="preserve">If the residents own or run the building through a company, upload its accounts for the last three years.</t>
  </si>
  <si>
    <t xml:space="preserve">Current helper text refers to the share certificate; replace it.</t>
  </si>
  <si>
    <t xml:space="preserve">When was the outside of the building last redecorated?</t>
  </si>
  <si>
    <t xml:space="preserve">A year is fine. This helps a buyer judge when the next major works bill might come.</t>
  </si>
  <si>
    <t xml:space="preserve">When were the shared indoor areas (hallways, stairs) last redecorated?</t>
  </si>
  <si>
    <t xml:space="preserve">A year is fine.</t>
  </si>
  <si>
    <t xml:space="preserve">Have there been any problems with the level of service charges, or with how the building is managed, in the last three years?</t>
  </si>
  <si>
    <t xml:space="preserve">If yes: tell us what happened.</t>
  </si>
  <si>
    <t xml:space="preserve">Have you disputed your service charge, or any cost within it, in the last three years?</t>
  </si>
  <si>
    <t xml:space="preserve">If yes: what did you dispute and what was the outcome?</t>
  </si>
  <si>
    <t xml:space="preserve">Do you know of, or suspect, any cladding or other defects in the building that could be a fire or safety risk?</t>
  </si>
  <si>
    <t xml:space="preserve">If yes: tell us what you know or suspect.</t>
  </si>
  <si>
    <t xml:space="preserve">Do you know of any problems collecting service charges from other flat owners?</t>
  </si>
  <si>
    <t xml:space="preserve">Unpaid charges from others can mean higher bills or delayed works for everyone.</t>
  </si>
  <si>
    <t xml:space="preserve">If yes: tell us what you know.</t>
  </si>
  <si>
    <t xml:space="preserve">Do you currently owe anything for service charges, ground rent, insurance or other building costs?</t>
  </si>
  <si>
    <t xml:space="preserve">If yes: what is owed, and to whom?</t>
  </si>
  <si>
    <t xml:space="preserve">Have you been told that your landlord wants to sell the building?</t>
  </si>
  <si>
    <t xml:space="preserve">Landlords usually have to offer the flat owners first refusal, by formal notice.</t>
  </si>
  <si>
    <t xml:space="preserve">If yes: upload the notice.</t>
  </si>
  <si>
    <t xml:space="preserve">Have you received any other notice about the building, such as its use, condition, repairs or maintenance?</t>
  </si>
  <si>
    <t xml:space="preserve">Has your lease been changed, or has your landlord given you permission for anything under it?</t>
  </si>
  <si>
    <t xml:space="preserve">For example permission to sublet, keep a pet, or make alterations.</t>
  </si>
  <si>
    <t xml:space="preserve">If yes: upload the document or explain.</t>
  </si>
  <si>
    <t xml:space="preserve">Current helper text talks about warranties; replace it.</t>
  </si>
  <si>
    <t xml:space="preserve">Have you had any complaints from your landlord, managing agent or neighbours about something you did or didn't do?</t>
  </si>
  <si>
    <t xml:space="preserve">If yes: what was the complaint and how was it resolved?</t>
  </si>
  <si>
    <t xml:space="preserve">Have you complained, or had reason to complain, about your landlord, the management company or a neighbour?</t>
  </si>
  <si>
    <t xml:space="preserve">If yes: what was the issue and the outcome?</t>
  </si>
  <si>
    <t xml:space="preserve">Has anyone made changes to your flat since the lease was first granted?</t>
  </si>
  <si>
    <t xml:space="preserve">For example removing a wall, replacing windows or changing the layout.</t>
  </si>
  <si>
    <t xml:space="preserve">If yes: tell us what was done and when.</t>
  </si>
  <si>
    <t xml:space="preserve">Current helper text is about vacant possession, and the follow-up is about complaints. Replace both.</t>
  </si>
  <si>
    <t xml:space="preserve">Did you get your landlord's permission for those changes?</t>
  </si>
  <si>
    <t xml:space="preserve">If yes: upload the permission.</t>
  </si>
  <si>
    <t xml:space="preserve">Have you owned your flat for two years or more?</t>
  </si>
  <si>
    <t xml:space="preserve">This affects whether you could apply to extend your lease or buy the freehold.</t>
  </si>
  <si>
    <t xml:space="preserve">Conveyancer to check: the Leasehold and Freehold Reform Act 2024 removes the two-year rule once in force.</t>
  </si>
  <si>
    <t xml:space="preserve">Have you formally applied to your landlord to extend your lease or buy the freehold?</t>
  </si>
  <si>
    <t xml:space="preserve">If yes: upload the notice you sent.</t>
  </si>
  <si>
    <t xml:space="preserve">Do you know of any notice from a group of flat owners to buy the freehold of the building together?</t>
  </si>
  <si>
    <t xml:space="preserve">If yes: upload any documents.</t>
  </si>
  <si>
    <t xml:space="preserve">Does your lease qualify for protection from building safety repair costs?</t>
  </si>
  <si>
    <t xml:space="preserve">Your conveyancer can confirm. It mainly applies to long leases of flats in buildings at least 11 metres or five storeys high, granted before 14 February 2022.</t>
  </si>
  <si>
    <t xml:space="preserve">Has a leaseholder deed of certificate been completed for your flat?</t>
  </si>
  <si>
    <t xml:space="preserve">This is the document that confirms whether your lease qualifies for building safety protection.</t>
  </si>
  <si>
    <t xml:space="preserve">Who completed the leaseholder deed of certificate: you, or a previous owner?</t>
  </si>
  <si>
    <t xml:space="preserve">Upload the leaseholder deed of certificate and its supporting evidence.</t>
  </si>
  <si>
    <t xml:space="preserve">Answer format is currently a choice between leaseholders; change to an upload.</t>
  </si>
  <si>
    <t xml:space="preserve">Have you told your landlord that you plan to sell?</t>
  </si>
  <si>
    <t xml:space="preserve">Once told, your landlord should give you a landlord's certificate, which your buyer's conveyancer will need.</t>
  </si>
  <si>
    <t xml:space="preserve">Has your landlord sent you a landlord's certificate and its supporting evidence?</t>
  </si>
  <si>
    <t xml:space="preserve">If yes: upload it.</t>
  </si>
  <si>
    <t xml:space="preserve">How to use: review each proposed question (green). Enter Yes, No or an edit in "Approved?" (yellow). Mapping stays the same: answers still export to the same field and form reference.</t>
  </si>
  <si>
    <t xml:space="preserve">Section Q no.</t>
  </si>
  <si>
    <t xml:space="preserve">Resolution pathway</t>
  </si>
  <si>
    <t xml:space="preserve">Clean answer (Resolved)</t>
  </si>
  <si>
    <t xml:space="preserve">Trigger answer</t>
  </si>
  <si>
    <t xml:space="preserve">Outcome if triggered</t>
  </si>
  <si>
    <t xml:space="preserve">Evidence to collect</t>
  </si>
  <si>
    <t xml:space="preserve">What the homeowner can do</t>
  </si>
  <si>
    <t xml:space="preserve">Conveyancer needed when</t>
  </si>
  <si>
    <t xml:space="preserve">Passport flag text</t>
  </si>
  <si>
    <t xml:space="preserve">P28 Who can sell: owners, probate, attorneys and companies</t>
  </si>
  <si>
    <t xml:space="preserve">Address confirmed against HMLR/UPRN</t>
  </si>
  <si>
    <t xml:space="preserve">Address does not match title</t>
  </si>
  <si>
    <t xml:space="preserve">Flagged</t>
  </si>
  <si>
    <t xml:space="preserve">Title register</t>
  </si>
  <si>
    <t xml:space="preserve">Check address against the title register pulled by UMU</t>
  </si>
  <si>
    <t xml:space="preserve">Only if the mismatch is not a simple formatting difference</t>
  </si>
  <si>
    <t xml:space="preserve">Property address differs from the registered title</t>
  </si>
  <si>
    <t xml:space="preserve">Names match registered owners</t>
  </si>
  <si>
    <t xml:space="preserve">Names differ, owner deceased, attorney or company seller</t>
  </si>
  <si>
    <t xml:space="preserve">Escalate</t>
  </si>
  <si>
    <t xml:space="preserve">Title register; probate, power of attorney or company documents</t>
  </si>
  <si>
    <t xml:space="preserve">Upload grant of probate, lasting power of attorney or company details</t>
  </si>
  <si>
    <t xml:space="preserve">Always, where the seller is not the registered owner</t>
  </si>
  <si>
    <t xml:space="preserve">Seller is not the registered owner: authority to sell needs checking</t>
  </si>
  <si>
    <t xml:space="preserve">Solicitor details added</t>
  </si>
  <si>
    <t xml:space="preserve">No solicitor yet</t>
  </si>
  <si>
    <t xml:space="preserve">Resolved</t>
  </si>
  <si>
    <t xml:space="preserve">None</t>
  </si>
  <si>
    <t xml:space="preserve">Add later, or choose one from the marketplace</t>
  </si>
  <si>
    <t xml:space="preserve">Not applicable</t>
  </si>
  <si>
    <t xml:space="preserve">No pathway needed (simple answer)</t>
  </si>
  <si>
    <t xml:space="preserve">Any answer</t>
  </si>
  <si>
    <t xml:space="preserve">Complete home story</t>
  </si>
  <si>
    <t xml:space="preserve">Never</t>
  </si>
  <si>
    <t xml:space="preserve">Band entered</t>
  </si>
  <si>
    <t xml:space="preserve">Not known</t>
  </si>
  <si>
    <t xml:space="preserve">Council tax bill or GOV.UK check</t>
  </si>
  <si>
    <t xml:space="preserve">Look up the band on GOV.UK</t>
  </si>
  <si>
    <t xml:space="preserve">Price entered</t>
  </si>
  <si>
    <t xml:space="preserve">Enter price</t>
  </si>
  <si>
    <t xml:space="preserve">Freehold</t>
  </si>
  <si>
    <t xml:space="preserve">Leasehold, commonhold, shared ownership, flying freehold, share of freehold</t>
  </si>
  <si>
    <t xml:space="preserve">Answer tenure questions that follow</t>
  </si>
  <si>
    <t xml:space="preserve">Tenure itself is not an issue; follow-on answers may be</t>
  </si>
  <si>
    <t xml:space="preserve">Tenure: [type]. Leasehold or other tenure questions apply</t>
  </si>
  <si>
    <t xml:space="preserve">P29 Shared ownership</t>
  </si>
  <si>
    <t xml:space="preserve">Share and rent entered</t>
  </si>
  <si>
    <t xml:space="preserve">Shared ownership lease; housing association statement</t>
  </si>
  <si>
    <t xml:space="preserve">Get figures from the housing association</t>
  </si>
  <si>
    <t xml:space="preserve">Staircasing or landlord consent to sell (usually needed)</t>
  </si>
  <si>
    <t xml:space="preserve">Shared ownership: housing association consent and nomination period may apply</t>
  </si>
  <si>
    <t xml:space="preserve">P30 Short lease or high ground rent</t>
  </si>
  <si>
    <t xml:space="preserve">Lease length 90+ years remaining</t>
  </si>
  <si>
    <t xml:space="preserve">Under 90 years; under 80 years</t>
  </si>
  <si>
    <t xml:space="preserve">Flagged / Escalate</t>
  </si>
  <si>
    <t xml:space="preserve">Lease; title register</t>
  </si>
  <si>
    <t xml:space="preserve">Check lease start and length; note ground rent</t>
  </si>
  <si>
    <t xml:space="preserve">Under 80 years: lease extension advice; many lenders restrict short leases</t>
  </si>
  <si>
    <t xml:space="preserve">Short lease: [x] years remaining. May affect mortgage availability and value</t>
  </si>
  <si>
    <t xml:space="preserve">P31 Leasehold management information</t>
  </si>
  <si>
    <t xml:space="preserve">Service charge amount and document provided</t>
  </si>
  <si>
    <t xml:space="preserve">Service charge demands</t>
  </si>
  <si>
    <t xml:space="preserve">Ask managing agent for latest demand</t>
  </si>
  <si>
    <t xml:space="preserve">Not unless disputed</t>
  </si>
  <si>
    <t xml:space="preserve">Service charge details missing</t>
  </si>
  <si>
    <t xml:space="preserve">P32 Freehold, head lease and management company structure</t>
  </si>
  <si>
    <t xml:space="preserve">Commonhold community statement uploaded</t>
  </si>
  <si>
    <t xml:space="preserve">Not available</t>
  </si>
  <si>
    <t xml:space="preserve">Commonhold community statement</t>
  </si>
  <si>
    <t xml:space="preserve">Download from HMLR or ask the commonhold association</t>
  </si>
  <si>
    <t xml:space="preserve">If statement cannot be found</t>
  </si>
  <si>
    <t xml:space="preserve">Commonhold statement missing</t>
  </si>
  <si>
    <t xml:space="preserve">Type selected</t>
  </si>
  <si>
    <t xml:space="preserve">Photos</t>
  </si>
  <si>
    <t xml:space="preserve">Complete</t>
  </si>
  <si>
    <t xml:space="preserve">P09 Boundaries that differ, have moved, or include extra land</t>
  </si>
  <si>
    <t xml:space="preserve">Responsibility marked for each side</t>
  </si>
  <si>
    <t xml:space="preserve">Not known for some sides</t>
  </si>
  <si>
    <t xml:space="preserve">Photos of each boundary; title plan</t>
  </si>
  <si>
    <t xml:space="preserve">Mark each side: mine, neighbour, shared, not known. "Not known" is acceptable</t>
  </si>
  <si>
    <t xml:space="preserve">Never on its own</t>
  </si>
  <si>
    <t xml:space="preserve">Boundaries uniform, or irregular but match title plan</t>
  </si>
  <si>
    <t xml:space="preserve">Irregular and do not match title plan</t>
  </si>
  <si>
    <t xml:space="preserve">Photos, measurements, title plan</t>
  </si>
  <si>
    <t xml:space="preserve">Upload photos; mark differences on the title plan. Do not approach neighbours to change anything first</t>
  </si>
  <si>
    <t xml:space="preserve">Where physical boundary differs from title plan</t>
  </si>
  <si>
    <t xml:space="preserve">Boundary does not match title plan</t>
  </si>
  <si>
    <t xml:space="preserve">No</t>
  </si>
  <si>
    <t xml:space="preserve">Yes, a boundary has moved</t>
  </si>
  <si>
    <t xml:space="preserve">Dates, photos, any agreement with neighbour</t>
  </si>
  <si>
    <t xml:space="preserve">Record when and why it moved; upload any written agreement</t>
  </si>
  <si>
    <t xml:space="preserve">Always: may need a boundary agreement or transfer</t>
  </si>
  <si>
    <t xml:space="preserve">Boundary feature moved in the last 10 years</t>
  </si>
  <si>
    <t xml:space="preserve">Yes, adjacent land bought</t>
  </si>
  <si>
    <t xml:space="preserve">Transfer deed; title number of added land</t>
  </si>
  <si>
    <t xml:space="preserve">Upload the transfer and check it is registered</t>
  </si>
  <si>
    <t xml:space="preserve">If land not registered or not merged into the title</t>
  </si>
  <si>
    <t xml:space="preserve">Additional land bought: check it is registered and included in the sale</t>
  </si>
  <si>
    <t xml:space="preserve">Yes, overhang or projection</t>
  </si>
  <si>
    <t xml:space="preserve">Photos; title register</t>
  </si>
  <si>
    <t xml:space="preserve">Describe and photograph the overhang</t>
  </si>
  <si>
    <t xml:space="preserve">Flying freehold or rights needed over neighbouring land</t>
  </si>
  <si>
    <t xml:space="preserve">Part of the property overhangs or projects under neighbouring land</t>
  </si>
  <si>
    <t xml:space="preserve">P10 Party wall works</t>
  </si>
  <si>
    <t xml:space="preserve">Yes, party wall notice</t>
  </si>
  <si>
    <t xml:space="preserve">Party wall notice, award, surveyor schedule of condition</t>
  </si>
  <si>
    <t xml:space="preserve">Upload notice and award; confirm works finished</t>
  </si>
  <si>
    <t xml:space="preserve">If no award exists, or works unfinished or disputed</t>
  </si>
  <si>
    <t xml:space="preserve">Party wall works: notice and award provided</t>
  </si>
  <si>
    <t xml:space="preserve">P11 Disputes, complaints and other things a buyer should know</t>
  </si>
  <si>
    <t xml:space="preserve">Yes</t>
  </si>
  <si>
    <t xml:space="preserve">All correspondence, notices, photos</t>
  </si>
  <si>
    <t xml:space="preserve">Write a factual timeline; upload letters. Settled issues: upload proof of settlement</t>
  </si>
  <si>
    <t xml:space="preserve">Always: disclosure wording is a legal judgement</t>
  </si>
  <si>
    <t xml:space="preserve">Past or current dispute disclosed</t>
  </si>
  <si>
    <t xml:space="preserve">Description, any correspondence</t>
  </si>
  <si>
    <t xml:space="preserve">Describe the issue factually</t>
  </si>
  <si>
    <t xml:space="preserve">Possible future dispute disclosed</t>
  </si>
  <si>
    <t xml:space="preserve">P12 Notices and nearby development</t>
  </si>
  <si>
    <t xml:space="preserve">The notice or letter</t>
  </si>
  <si>
    <t xml:space="preserve">Upload it; link to council planning record where relevant</t>
  </si>
  <si>
    <t xml:space="preserve">Compulsory purchase, enforcement or anything imposing cost on the owner</t>
  </si>
  <si>
    <t xml:space="preserve">Notice received affecting the property</t>
  </si>
  <si>
    <t xml:space="preserve">Planning portal reference</t>
  </si>
  <si>
    <t xml:space="preserve">Link the council planning application</t>
  </si>
  <si>
    <t xml:space="preserve">Only if it directly affects the property or its rights</t>
  </si>
  <si>
    <t xml:space="preserve">Nearby development proposal</t>
  </si>
  <si>
    <t xml:space="preserve">P02 Building work without building regulations sign-off; P03 Planning permission or permitted development evidence</t>
  </si>
  <si>
    <t xml:space="preserve">No works</t>
  </si>
  <si>
    <t xml:space="preserve">Works done</t>
  </si>
  <si>
    <t xml:space="preserve">Planning decision, building regs completion certificate, FENSA or CERTASS for windows</t>
  </si>
  <si>
    <t xml:space="preserve">Download from council planning portal; search FENSA/CERTASS registers; request copies from builder. Do not contact building control about unapproved works</t>
  </si>
  <si>
    <t xml:space="preserve">Where certificates cannot be found (indemnity or regularisation decision)</t>
  </si>
  <si>
    <t xml:space="preserve">Alterations: [list]. Certificates [provided / missing]</t>
  </si>
  <si>
    <t xml:space="preserve">P02 Building work without building regulations sign-off</t>
  </si>
  <si>
    <t xml:space="preserve">Description, expected completion date, contractor details</t>
  </si>
  <si>
    <t xml:space="preserve">Record what remains and when it will finish</t>
  </si>
  <si>
    <t xml:space="preserve">If works need sign-off that cannot be obtained before sale</t>
  </si>
  <si>
    <t xml:space="preserve">Unfinished works</t>
  </si>
  <si>
    <t xml:space="preserve">Consents, conditions, description of breach</t>
  </si>
  <si>
    <t xml:space="preserve">Gather consents and describe the breach factually. Do not contact the council yet</t>
  </si>
  <si>
    <t xml:space="preserve">Always: enforcement risk and indemnity options</t>
  </si>
  <si>
    <t xml:space="preserve">Possible breach of planning or building regulations</t>
  </si>
  <si>
    <t xml:space="preserve">Correspondence with council</t>
  </si>
  <si>
    <t xml:space="preserve">Upload correspondence</t>
  </si>
  <si>
    <t xml:space="preserve">Always</t>
  </si>
  <si>
    <t xml:space="preserve">Unresolved planning or building control issue</t>
  </si>
  <si>
    <t xml:space="preserve">P05 Solar panels: ownership, lease or paperwork</t>
  </si>
  <si>
    <t xml:space="preserve">Installation year, MCS certificate</t>
  </si>
  <si>
    <t xml:space="preserve">Upload MCS certificate</t>
  </si>
  <si>
    <t xml:space="preserve">Not on its own</t>
  </si>
  <si>
    <t xml:space="preserve">Solar panels installed [year]</t>
  </si>
  <si>
    <t xml:space="preserve">Yes, owned outright</t>
  </si>
  <si>
    <t xml:space="preserve">No, not owned</t>
  </si>
  <si>
    <t xml:space="preserve">Ownership documents, provider details</t>
  </si>
  <si>
    <t xml:space="preserve">Upload agreement</t>
  </si>
  <si>
    <t xml:space="preserve">Always: may affect lender acceptance</t>
  </si>
  <si>
    <t xml:space="preserve">Solar panels not owned outright</t>
  </si>
  <si>
    <t xml:space="preserve">Yes, roof lease granted</t>
  </si>
  <si>
    <t xml:space="preserve">The lease, provider contact, tariff records</t>
  </si>
  <si>
    <t xml:space="preserve">Upload lease and contact details</t>
  </si>
  <si>
    <t xml:space="preserve">Always: many lenders need to approve roof leases</t>
  </si>
  <si>
    <t xml:space="preserve">Roof space leased to a solar provider</t>
  </si>
  <si>
    <t xml:space="preserve">P04 Listed building, conservation area, Article 4 or protected trees</t>
  </si>
  <si>
    <t xml:space="preserve">Yes, listed</t>
  </si>
  <si>
    <t xml:space="preserve">Escalate if works done</t>
  </si>
  <si>
    <t xml:space="preserve">Listing entry; any listed building consent</t>
  </si>
  <si>
    <t xml:space="preserve">Look up the listing on the Historic England register; upload consents</t>
  </si>
  <si>
    <t xml:space="preserve">If any alterations were made without consent (criminal offence, no time limit)</t>
  </si>
  <si>
    <t xml:space="preserve">Listed building</t>
  </si>
  <si>
    <t xml:space="preserve">Council reference; consents for any works</t>
  </si>
  <si>
    <t xml:space="preserve">Check the council conservation area map</t>
  </si>
  <si>
    <t xml:space="preserve">If external works done without consent</t>
  </si>
  <si>
    <t xml:space="preserve">Conservation area</t>
  </si>
  <si>
    <t xml:space="preserve">5.11</t>
  </si>
  <si>
    <t xml:space="preserve">TPO reference; council consents</t>
  </si>
  <si>
    <t xml:space="preserve">Check the council TPO map; upload consents for tree works</t>
  </si>
  <si>
    <t xml:space="preserve">If works done to protected trees without consent</t>
  </si>
  <si>
    <t xml:space="preserve">Tree Preservation Order</t>
  </si>
  <si>
    <t xml:space="preserve">No, or not known</t>
  </si>
  <si>
    <t xml:space="preserve">Consents, photos</t>
  </si>
  <si>
    <t xml:space="preserve">Describe works done to protected trees</t>
  </si>
  <si>
    <t xml:space="preserve">Tree Preservation Order terms may not have been met</t>
  </si>
  <si>
    <t xml:space="preserve">P06 Missing guarantee or warranty</t>
  </si>
  <si>
    <t xml:space="preserve">No, or yes with certificate uploaded</t>
  </si>
  <si>
    <t xml:space="preserve">Yes, but certificate missing; or a claim made</t>
  </si>
  <si>
    <t xml:space="preserve">Certificate, provider, policy number, dates, any claim</t>
  </si>
  <si>
    <t xml:space="preserve">Upload certificate; ask installer or guarantee body for a copy; check if transferable</t>
  </si>
  <si>
    <t xml:space="preserve">If a claim is outstanding</t>
  </si>
  <si>
    <t xml:space="preserve">New home warranty: certificate [provided / missing]</t>
  </si>
  <si>
    <t xml:space="preserve">Damp proofing guarantee: certificate [provided / missing]</t>
  </si>
  <si>
    <t xml:space="preserve">Timber treatment guarantee: certificate [provided / missing]</t>
  </si>
  <si>
    <t xml:space="preserve">P01 Windows or doors with no FENSA certificate</t>
  </si>
  <si>
    <t xml:space="preserve">Window guarantee: certificate [provided / missing]</t>
  </si>
  <si>
    <t xml:space="preserve">Electrical work guarantee: certificate [provided / missing]</t>
  </si>
  <si>
    <t xml:space="preserve">Roofing guarantee: certificate [provided / missing]</t>
  </si>
  <si>
    <t xml:space="preserve">Central heating guarantee: certificate [provided / missing]</t>
  </si>
  <si>
    <t xml:space="preserve">6.9</t>
  </si>
  <si>
    <t xml:space="preserve">Upload certificate; ask installer or guarantee body for a copy; check if transferable. Underpinning points to past subsidence: expect buyer questions</t>
  </si>
  <si>
    <t xml:space="preserve">If a claim is outstanding, or underpinning relates to ongoing movement</t>
  </si>
  <si>
    <t xml:space="preserve">Underpinning guarantee: certificate [provided / missing]</t>
  </si>
  <si>
    <t xml:space="preserve">P13 Insurance difficulties and claims</t>
  </si>
  <si>
    <t xml:space="preserve">Reason not insured</t>
  </si>
  <si>
    <t xml:space="preserve">Explain why (for example, flat insured by landlord)</t>
  </si>
  <si>
    <t xml:space="preserve">If the property cannot be insured</t>
  </si>
  <si>
    <t xml:space="preserve">Property not insured by seller: [reason]</t>
  </si>
  <si>
    <t xml:space="preserve">Yes, landlord insures</t>
  </si>
  <si>
    <t xml:space="preserve">Landlord policy schedule</t>
  </si>
  <si>
    <t xml:space="preserve">Ask managing agent for schedule</t>
  </si>
  <si>
    <t xml:space="preserve">If building is uninsured</t>
  </si>
  <si>
    <t xml:space="preserve">Building insurance arrangements unclear</t>
  </si>
  <si>
    <t xml:space="preserve">Insurer letters, reason given</t>
  </si>
  <si>
    <t xml:space="preserve">Upload insurer letters and state reason (often flood or subsidence)</t>
  </si>
  <si>
    <t xml:space="preserve">If cover was refused, or linked to subsidence or flooding</t>
  </si>
  <si>
    <t xml:space="preserve">Insurance abnormal premium rise</t>
  </si>
  <si>
    <t xml:space="preserve">Insurance high excess</t>
  </si>
  <si>
    <t xml:space="preserve">Insurance unusual conditions</t>
  </si>
  <si>
    <t xml:space="preserve">Insurance refusal</t>
  </si>
  <si>
    <t xml:space="preserve">Claim details, repair invoices</t>
  </si>
  <si>
    <t xml:space="preserve">List claims with date, cause, repair</t>
  </si>
  <si>
    <t xml:space="preserve">If repairs incomplete or claim linked to subsidence</t>
  </si>
  <si>
    <t xml:space="preserve">Buildings insurance claims made</t>
  </si>
  <si>
    <t xml:space="preserve">P14 Flooding</t>
  </si>
  <si>
    <t xml:space="preserve">Dates, type of flooding, repairs, insurance claims, flood measures fitted</t>
  </si>
  <si>
    <t xml:space="preserve">Record details; check the government flood risk service and save the result</t>
  </si>
  <si>
    <t xml:space="preserve">Repeated flooding or insurance difficulty</t>
  </si>
  <si>
    <t xml:space="preserve">Property has flooded: [type, year]</t>
  </si>
  <si>
    <t xml:space="preserve">As above</t>
  </si>
  <si>
    <t xml:space="preserve">Duplicate of Q54: merge</t>
  </si>
  <si>
    <t xml:space="preserve">Yes, report uploaded</t>
  </si>
  <si>
    <t xml:space="preserve">No report</t>
  </si>
  <si>
    <t xml:space="preserve">Flood risk report</t>
  </si>
  <si>
    <t xml:space="preserve">Order or upload a report if in a flood-risk area</t>
  </si>
  <si>
    <t xml:space="preserve">P15 Radon</t>
  </si>
  <si>
    <t xml:space="preserve">Yes, uploaded; or not in affected area</t>
  </si>
  <si>
    <t xml:space="preserve">Not tested in an affected area</t>
  </si>
  <si>
    <t xml:space="preserve">Radon test; UKHSA radon map result</t>
  </si>
  <si>
    <t xml:space="preserve">Check the UKHSA radon map; order a test if in an affected area</t>
  </si>
  <si>
    <t xml:space="preserve">Not usually</t>
  </si>
  <si>
    <t xml:space="preserve">Radon: not tested in an affected area</t>
  </si>
  <si>
    <t xml:space="preserve">Yes, below action level</t>
  </si>
  <si>
    <t xml:space="preserve">No, above action level</t>
  </si>
  <si>
    <t xml:space="preserve">Test report; remedial works evidence</t>
  </si>
  <si>
    <t xml:space="preserve">Upload report; record any remedial works and retest</t>
  </si>
  <si>
    <t xml:space="preserve">If above action level and no remedial works</t>
  </si>
  <si>
    <t xml:space="preserve">Radon above action level</t>
  </si>
  <si>
    <t xml:space="preserve">Yes, or not applicable</t>
  </si>
  <si>
    <t xml:space="preserve">No, in affected area</t>
  </si>
  <si>
    <t xml:space="preserve">Build documents</t>
  </si>
  <si>
    <t xml:space="preserve">Record answer</t>
  </si>
  <si>
    <t xml:space="preserve">Radon protection not fitted at construction</t>
  </si>
  <si>
    <t xml:space="preserve">P16 Energy Performance Certificate</t>
  </si>
  <si>
    <t xml:space="preserve">EPC uploaded or pulled from register</t>
  </si>
  <si>
    <t xml:space="preserve">No EPC</t>
  </si>
  <si>
    <t xml:space="preserve">EPC</t>
  </si>
  <si>
    <t xml:space="preserve">UMU pulls it from the register; order one if expired</t>
  </si>
  <si>
    <t xml:space="preserve">No valid EPC</t>
  </si>
  <si>
    <t xml:space="preserve">P17 Green Deal loan</t>
  </si>
  <si>
    <t xml:space="preserve">Yes, Green Deal</t>
  </si>
  <si>
    <t xml:space="preserve">Green Deal plan, bills showing charge</t>
  </si>
  <si>
    <t xml:space="preserve">Upload plan; note the charge passes to the buyer with the bill</t>
  </si>
  <si>
    <t xml:space="preserve">Buyer must be told formally; conveyancer checks disclosure</t>
  </si>
  <si>
    <t xml:space="preserve">Green Deal loan attached to electricity bill</t>
  </si>
  <si>
    <t xml:space="preserve">P18 Japanese knotweed</t>
  </si>
  <si>
    <t xml:space="preserve">Yes, with plan</t>
  </si>
  <si>
    <t xml:space="preserve">Management plan, insurance-backed guarantee, photos</t>
  </si>
  <si>
    <t xml:space="preserve">Upload plan and guarantee; if no plan, get a specialist survey</t>
  </si>
  <si>
    <t xml:space="preserve">If no management plan in place</t>
  </si>
  <si>
    <t xml:space="preserve">Japanese knotweed present</t>
  </si>
  <si>
    <t xml:space="preserve">P19 Shared driveways, access and services crossing land</t>
  </si>
  <si>
    <t xml:space="preserve">Agreement, cost-sharing records</t>
  </si>
  <si>
    <t xml:space="preserve">Upload agreement; describe what is shared and costs</t>
  </si>
  <si>
    <t xml:space="preserve">If no written agreement exists</t>
  </si>
  <si>
    <t xml:space="preserve">Shared costs for jointly used services</t>
  </si>
  <si>
    <t xml:space="preserve">Title register entry, plan of route</t>
  </si>
  <si>
    <t xml:space="preserve">Compare with title register; mark route on a plan</t>
  </si>
  <si>
    <t xml:space="preserve">If the right is not on the title register (informal)</t>
  </si>
  <si>
    <t xml:space="preserve">Property relies on rights over neighbouring land</t>
  </si>
  <si>
    <t xml:space="preserve">Correspondence, photos</t>
  </si>
  <si>
    <t xml:space="preserve">Record facts and upload letters</t>
  </si>
  <si>
    <t xml:space="preserve">Access has been blocked or challenged</t>
  </si>
  <si>
    <t xml:space="preserve">9.5</t>
  </si>
  <si>
    <t xml:space="preserve">P20 Rights recorded on the title (light, support, mines, chancel and others)</t>
  </si>
  <si>
    <t xml:space="preserve">Any document or description</t>
  </si>
  <si>
    <t xml:space="preserve">Describe the right</t>
  </si>
  <si>
    <t xml:space="preserve">If the right is disputed or undocumented</t>
  </si>
  <si>
    <t xml:space="preserve">Property benefits from rights of light</t>
  </si>
  <si>
    <t xml:space="preserve">9.6</t>
  </si>
  <si>
    <t xml:space="preserve">Plan of route, any agreement</t>
  </si>
  <si>
    <t xml:space="preserve">Mark the route on a plan</t>
  </si>
  <si>
    <t xml:space="preserve">If no right or agreement exists</t>
  </si>
  <si>
    <t xml:space="preserve">Neighbouring services cross the property</t>
  </si>
  <si>
    <t xml:space="preserve">9.7</t>
  </si>
  <si>
    <t xml:space="preserve">Property benefits from rights of support</t>
  </si>
  <si>
    <t xml:space="preserve">9.8</t>
  </si>
  <si>
    <t xml:space="preserve">Property benefits from customary rights</t>
  </si>
  <si>
    <t xml:space="preserve">9.9</t>
  </si>
  <si>
    <t xml:space="preserve">Title register, any notice</t>
  </si>
  <si>
    <t xml:space="preserve">Upload any notice or title entry</t>
  </si>
  <si>
    <t xml:space="preserve">Always if yes; chancel liability may need indemnity insurance</t>
  </si>
  <si>
    <t xml:space="preserve">Property affected by mines and minerals rights</t>
  </si>
  <si>
    <t xml:space="preserve">9.10</t>
  </si>
  <si>
    <t xml:space="preserve">Property affected by chancel repair liability</t>
  </si>
  <si>
    <t xml:space="preserve">9.11</t>
  </si>
  <si>
    <t xml:space="preserve">Property affected by others' rights to take things from the land</t>
  </si>
  <si>
    <t xml:space="preserve">9.12</t>
  </si>
  <si>
    <t xml:space="preserve">Documents, plan</t>
  </si>
  <si>
    <t xml:space="preserve">Describe and upload</t>
  </si>
  <si>
    <t xml:space="preserve">If informal or disputed</t>
  </si>
  <si>
    <t xml:space="preserve">Other rights or arrangements affect the property</t>
  </si>
  <si>
    <t xml:space="preserve">9.13</t>
  </si>
  <si>
    <t xml:space="preserve">Duplicate of Q68: reword to cover this property's services crossing neighbouring land</t>
  </si>
  <si>
    <t xml:space="preserve">9.14</t>
  </si>
  <si>
    <t xml:space="preserve">Agreement</t>
  </si>
  <si>
    <t xml:space="preserve">If informal</t>
  </si>
  <si>
    <t xml:space="preserve">Agreement about pipes, drains or wires</t>
  </si>
  <si>
    <t xml:space="preserve">P21 Parking, permits and charging</t>
  </si>
  <si>
    <t xml:space="preserve">Described</t>
  </si>
  <si>
    <t xml:space="preserve">Describe</t>
  </si>
  <si>
    <t xml:space="preserve">Permit details and cost</t>
  </si>
  <si>
    <t xml:space="preserve">Record zone and permit cost</t>
  </si>
  <si>
    <t xml:space="preserve">Controlled parking zone</t>
  </si>
  <si>
    <t xml:space="preserve">P22 Estate charges and other payments</t>
  </si>
  <si>
    <t xml:space="preserve">Invoices, management company details, three years of statements</t>
  </si>
  <si>
    <t xml:space="preserve">Upload statements; confirm no arrears</t>
  </si>
  <si>
    <t xml:space="preserve">If arrears, disputes, or a rentcharge</t>
  </si>
  <si>
    <t xml:space="preserve">Estate or other charges payable</t>
  </si>
  <si>
    <t xml:space="preserve">P23 Other people living in the home</t>
  </si>
  <si>
    <t xml:space="preserve">Who lives there</t>
  </si>
  <si>
    <t xml:space="preserve">Record occupancy</t>
  </si>
  <si>
    <t xml:space="preserve">If tenants or others occupy</t>
  </si>
  <si>
    <t xml:space="preserve">Seller does not live at the property</t>
  </si>
  <si>
    <t xml:space="preserve">12.3</t>
  </si>
  <si>
    <t xml:space="preserve">Full names of adult occupiers</t>
  </si>
  <si>
    <t xml:space="preserve">Record names</t>
  </si>
  <si>
    <t xml:space="preserve">Each adult occupier usually needs to agree to leave and sign</t>
  </si>
  <si>
    <t xml:space="preserve">Other adults live at the property</t>
  </si>
  <si>
    <t xml:space="preserve">12.4</t>
  </si>
  <si>
    <t xml:space="preserve">Tenancy agreements, deposit protection certificate</t>
  </si>
  <si>
    <t xml:space="preserve">Upload tenancy and deposit documents</t>
  </si>
  <si>
    <t xml:space="preserve">Always: vacant possession needs notice handled correctly</t>
  </si>
  <si>
    <t xml:space="preserve">Tenants or lodgers in occupation</t>
  </si>
  <si>
    <t xml:space="preserve">Tenancy or occupation documents</t>
  </si>
  <si>
    <t xml:space="preserve">Upload documents</t>
  </si>
  <si>
    <t xml:space="preserve">Not selling with vacant possession</t>
  </si>
  <si>
    <t xml:space="preserve">13.2</t>
  </si>
  <si>
    <t xml:space="preserve">P07 Electrical work or testing certificates</t>
  </si>
  <si>
    <t xml:space="preserve">Tested, certificate uploaded</t>
  </si>
  <si>
    <t xml:space="preserve">Never tested, or not known</t>
  </si>
  <si>
    <t xml:space="preserve">Resolved / Flagged</t>
  </si>
  <si>
    <t xml:space="preserve">EICR</t>
  </si>
  <si>
    <t xml:space="preserve">Optional: commission an EICR to strengthen the passport</t>
  </si>
  <si>
    <t xml:space="preserve">Electrical installation not recently tested</t>
  </si>
  <si>
    <t xml:space="preserve">No work, or work with certificate</t>
  </si>
  <si>
    <t xml:space="preserve">Work done, certificate missing</t>
  </si>
  <si>
    <t xml:space="preserve">Part P or electrical installation certificate</t>
  </si>
  <si>
    <t xml:space="preserve">Ask the electrician or their scheme (NICEIC, NAPIT) for a copy</t>
  </si>
  <si>
    <t xml:space="preserve">If certificate cannot be found (indemnity decision)</t>
  </si>
  <si>
    <t xml:space="preserve">Electrical work since 2005: certificate [provided / missing]</t>
  </si>
  <si>
    <t xml:space="preserve">13.4</t>
  </si>
  <si>
    <t xml:space="preserve">P08 Boiler, heating and gas certificates</t>
  </si>
  <si>
    <t xml:space="preserve">Answered</t>
  </si>
  <si>
    <t xml:space="preserve">Answer</t>
  </si>
  <si>
    <t xml:space="preserve">Oil, LPG, other</t>
  </si>
  <si>
    <t xml:space="preserve">Supply contracts, tank details</t>
  </si>
  <si>
    <t xml:space="preserve">Upload LPG contract (may need transfer)</t>
  </si>
  <si>
    <t xml:space="preserve">Heating fuel: [type]</t>
  </si>
  <si>
    <t xml:space="preserve">13.6</t>
  </si>
  <si>
    <t xml:space="preserve">Installed with certificate</t>
  </si>
  <si>
    <t xml:space="preserve">Certificate missing</t>
  </si>
  <si>
    <t xml:space="preserve">Gas Safe or OFTEC certificate</t>
  </si>
  <si>
    <t xml:space="preserve">Download from the Gas Safe register</t>
  </si>
  <si>
    <t xml:space="preserve">If certificate cannot be found</t>
  </si>
  <si>
    <t xml:space="preserve">Heating installation certificate missing</t>
  </si>
  <si>
    <t xml:space="preserve">13.7</t>
  </si>
  <si>
    <t xml:space="preserve">Engineer report or quote</t>
  </si>
  <si>
    <t xml:space="preserve">Record issue; optionally get quote</t>
  </si>
  <si>
    <t xml:space="preserve">Heating not in good working order</t>
  </si>
  <si>
    <t xml:space="preserve">13.8</t>
  </si>
  <si>
    <t xml:space="preserve">Within 12 months, report uploaded</t>
  </si>
  <si>
    <t xml:space="preserve">Not serviced recently</t>
  </si>
  <si>
    <t xml:space="preserve">Service record</t>
  </si>
  <si>
    <t xml:space="preserve">Book a service; upload record</t>
  </si>
  <si>
    <t xml:space="preserve">Heating not serviced in last 12 months</t>
  </si>
  <si>
    <t xml:space="preserve">13.9</t>
  </si>
  <si>
    <t xml:space="preserve">P24 Private drainage: septic tank, treatment plant or cesspool</t>
  </si>
  <si>
    <t xml:space="preserve">Answer drainage questions that follow</t>
  </si>
  <si>
    <t xml:space="preserve">Depends on answers below</t>
  </si>
  <si>
    <t xml:space="preserve">Not on mains foul drainage</t>
  </si>
  <si>
    <t xml:space="preserve">13.10</t>
  </si>
  <si>
    <t xml:space="preserve">Yes, or not known</t>
  </si>
  <si>
    <t xml:space="preserve">13.11</t>
  </si>
  <si>
    <t xml:space="preserve">Yes, septic tank</t>
  </si>
  <si>
    <t xml:space="preserve">Install date, emptying records, discharge point</t>
  </si>
  <si>
    <t xml:space="preserve">Record where it discharges; upload records</t>
  </si>
  <si>
    <t xml:space="preserve">If it discharges to a watercourse (General Binding Rules may require upgrade)</t>
  </si>
  <si>
    <t xml:space="preserve">Septic tank</t>
  </si>
  <si>
    <t xml:space="preserve">13.12</t>
  </si>
  <si>
    <t xml:space="preserve">Yes, treatment plant</t>
  </si>
  <si>
    <t xml:space="preserve">Service records</t>
  </si>
  <si>
    <t xml:space="preserve">Upload service records</t>
  </si>
  <si>
    <t xml:space="preserve">Rarely</t>
  </si>
  <si>
    <t xml:space="preserve">Sewage treatment plant</t>
  </si>
  <si>
    <t xml:space="preserve">13.13</t>
  </si>
  <si>
    <t xml:space="preserve">Yes, cesspool</t>
  </si>
  <si>
    <t xml:space="preserve">Emptying records</t>
  </si>
  <si>
    <t xml:space="preserve">Upload records</t>
  </si>
  <si>
    <t xml:space="preserve">Cesspool</t>
  </si>
  <si>
    <t xml:space="preserve">13.14</t>
  </si>
  <si>
    <t xml:space="preserve">Yes, shared</t>
  </si>
  <si>
    <t xml:space="preserve">Any sharing agreement</t>
  </si>
  <si>
    <t xml:space="preserve">Upload agreement; describe who pays</t>
  </si>
  <si>
    <t xml:space="preserve">Always: rights and costs</t>
  </si>
  <si>
    <t xml:space="preserve">Private drainage shared with other properties</t>
  </si>
  <si>
    <t xml:space="preserve">13.15</t>
  </si>
  <si>
    <t xml:space="preserve">Date entered</t>
  </si>
  <si>
    <t xml:space="preserve">Emptying invoice</t>
  </si>
  <si>
    <t xml:space="preserve">Find last invoice</t>
  </si>
  <si>
    <t xml:space="preserve">Last emptied date unknown</t>
  </si>
  <si>
    <t xml:space="preserve">13.16</t>
  </si>
  <si>
    <t xml:space="preserve">Service invoice</t>
  </si>
  <si>
    <t xml:space="preserve">Treatment plant service date unknown</t>
  </si>
  <si>
    <t xml:space="preserve">13.17</t>
  </si>
  <si>
    <t xml:space="preserve">Estimate if unknown</t>
  </si>
  <si>
    <t xml:space="preserve">13.18</t>
  </si>
  <si>
    <t xml:space="preserve">Plan of location and access</t>
  </si>
  <si>
    <t xml:space="preserve">Mark on a plan how access is obtained</t>
  </si>
  <si>
    <t xml:space="preserve">Always: rights over neighbouring land</t>
  </si>
  <si>
    <t xml:space="preserve">Drainage system or access outside the boundary</t>
  </si>
  <si>
    <t xml:space="preserve">13.19</t>
  </si>
  <si>
    <t xml:space="preserve">P25 Utilities and connections</t>
  </si>
  <si>
    <t xml:space="preserve">Yes, supplier recorded</t>
  </si>
  <si>
    <t xml:space="preserve">No or not known</t>
  </si>
  <si>
    <t xml:space="preserve">Supplier details, meter location</t>
  </si>
  <si>
    <t xml:space="preserve">Record supplier and meter location</t>
  </si>
  <si>
    <t xml:space="preserve">No mains electricity</t>
  </si>
  <si>
    <t xml:space="preserve">13.20</t>
  </si>
  <si>
    <t xml:space="preserve">No mains gas</t>
  </si>
  <si>
    <t xml:space="preserve">13.21</t>
  </si>
  <si>
    <t xml:space="preserve">No mains water</t>
  </si>
  <si>
    <t xml:space="preserve">13.22</t>
  </si>
  <si>
    <t xml:space="preserve">No mains sewerage</t>
  </si>
  <si>
    <t xml:space="preserve">13.23</t>
  </si>
  <si>
    <t xml:space="preserve">13.24</t>
  </si>
  <si>
    <t xml:space="preserve">P26 Chain, mortgage and moving</t>
  </si>
  <si>
    <t xml:space="preserve">Onward purchase details</t>
  </si>
  <si>
    <t xml:space="preserve">Record chain position</t>
  </si>
  <si>
    <t xml:space="preserve">Sale depends on onward purchase</t>
  </si>
  <si>
    <t xml:space="preserve">Dates</t>
  </si>
  <si>
    <t xml:space="preserve">Record dates</t>
  </si>
  <si>
    <t xml:space="preserve">Yes, or no mortgage</t>
  </si>
  <si>
    <t xml:space="preserve">Lender name, approximate balance</t>
  </si>
  <si>
    <t xml:space="preserve">Record lender and balance (never full account number)</t>
  </si>
  <si>
    <t xml:space="preserve">Always: shortfall needs lender agreement</t>
  </si>
  <si>
    <t xml:space="preserve">Sale proceeds may not cover mortgage</t>
  </si>
  <si>
    <t xml:space="preserve">14.4</t>
  </si>
  <si>
    <t xml:space="preserve">Explain</t>
  </si>
  <si>
    <t xml:space="preserve">If it affects the contract</t>
  </si>
  <si>
    <t xml:space="preserve">Completion undertaking not confirmed</t>
  </si>
  <si>
    <t xml:space="preserve">14.5</t>
  </si>
  <si>
    <t xml:space="preserve">14.6</t>
  </si>
  <si>
    <t xml:space="preserve">14.7</t>
  </si>
  <si>
    <t xml:space="preserve">15.2</t>
  </si>
  <si>
    <t xml:space="preserve">P27 Fixtures and fittings</t>
  </si>
  <si>
    <t xml:space="preserve">Included, excluded or none</t>
  </si>
  <si>
    <t xml:space="preserve">Excluded fixture, or item for sale at extra price</t>
  </si>
  <si>
    <t xml:space="preserve">Photos; price if for sale</t>
  </si>
  <si>
    <t xml:space="preserve">Mark every item; photograph items for sale</t>
  </si>
  <si>
    <t xml:space="preserve">Rarely: extra-price items must be agreed and can affect stamp duty</t>
  </si>
  <si>
    <t xml:space="preserve">[Item]: excluded / for sale at £[x]</t>
  </si>
  <si>
    <t xml:space="preserve">15.3</t>
  </si>
  <si>
    <t xml:space="preserve">15.4</t>
  </si>
  <si>
    <t xml:space="preserve">15.5</t>
  </si>
  <si>
    <t xml:space="preserve">15.6</t>
  </si>
  <si>
    <t xml:space="preserve">15.7</t>
  </si>
  <si>
    <t xml:space="preserve">15.8</t>
  </si>
  <si>
    <t xml:space="preserve">15.9</t>
  </si>
  <si>
    <t xml:space="preserve">15.10</t>
  </si>
  <si>
    <t xml:space="preserve">15.11</t>
  </si>
  <si>
    <t xml:space="preserve">15.12</t>
  </si>
  <si>
    <t xml:space="preserve">15.13</t>
  </si>
  <si>
    <t xml:space="preserve">15.14</t>
  </si>
  <si>
    <t xml:space="preserve">15.15</t>
  </si>
  <si>
    <t xml:space="preserve">15.16</t>
  </si>
  <si>
    <t xml:space="preserve">15.17</t>
  </si>
  <si>
    <t xml:space="preserve">15.18</t>
  </si>
  <si>
    <t xml:space="preserve">15.19</t>
  </si>
  <si>
    <t xml:space="preserve">15.20</t>
  </si>
  <si>
    <t xml:space="preserve">15.21</t>
  </si>
  <si>
    <t xml:space="preserve">15.22</t>
  </si>
  <si>
    <t xml:space="preserve">15.23</t>
  </si>
  <si>
    <t xml:space="preserve">15.24</t>
  </si>
  <si>
    <t xml:space="preserve">15.25</t>
  </si>
  <si>
    <t xml:space="preserve">15.26</t>
  </si>
  <si>
    <t xml:space="preserve">15.27</t>
  </si>
  <si>
    <t xml:space="preserve">15.28</t>
  </si>
  <si>
    <t xml:space="preserve">15.29</t>
  </si>
  <si>
    <t xml:space="preserve">15.30</t>
  </si>
  <si>
    <t xml:space="preserve">15.31</t>
  </si>
  <si>
    <t xml:space="preserve">15.32</t>
  </si>
  <si>
    <t xml:space="preserve">15.33</t>
  </si>
  <si>
    <t xml:space="preserve">15.34</t>
  </si>
  <si>
    <t xml:space="preserve">15.35</t>
  </si>
  <si>
    <t xml:space="preserve">15.36</t>
  </si>
  <si>
    <t xml:space="preserve">15.37</t>
  </si>
  <si>
    <t xml:space="preserve">15.38</t>
  </si>
  <si>
    <t xml:space="preserve">15.39</t>
  </si>
  <si>
    <t xml:space="preserve">15.40</t>
  </si>
  <si>
    <t xml:space="preserve">15.41</t>
  </si>
  <si>
    <t xml:space="preserve">15.42</t>
  </si>
  <si>
    <t xml:space="preserve">15.43</t>
  </si>
  <si>
    <t xml:space="preserve">15.44</t>
  </si>
  <si>
    <t xml:space="preserve">15.45</t>
  </si>
  <si>
    <t xml:space="preserve">15.46</t>
  </si>
  <si>
    <t xml:space="preserve">15.47</t>
  </si>
  <si>
    <t xml:space="preserve">15.48</t>
  </si>
  <si>
    <t xml:space="preserve">15.49</t>
  </si>
  <si>
    <t xml:space="preserve">15.50</t>
  </si>
  <si>
    <t xml:space="preserve">15.51</t>
  </si>
  <si>
    <t xml:space="preserve">15.52</t>
  </si>
  <si>
    <t xml:space="preserve">15.53</t>
  </si>
  <si>
    <t xml:space="preserve">15.54</t>
  </si>
  <si>
    <t xml:space="preserve">15.55</t>
  </si>
  <si>
    <t xml:space="preserve">15.56</t>
  </si>
  <si>
    <t xml:space="preserve">15.57</t>
  </si>
  <si>
    <t xml:space="preserve">15.58</t>
  </si>
  <si>
    <t xml:space="preserve">15.59</t>
  </si>
  <si>
    <t xml:space="preserve">15.60</t>
  </si>
  <si>
    <t xml:space="preserve">15.61</t>
  </si>
  <si>
    <t xml:space="preserve">15.62</t>
  </si>
  <si>
    <t xml:space="preserve">15.63</t>
  </si>
  <si>
    <t xml:space="preserve">15.64</t>
  </si>
  <si>
    <t xml:space="preserve">15.65</t>
  </si>
  <si>
    <t xml:space="preserve">15.66</t>
  </si>
  <si>
    <t xml:space="preserve">15.67</t>
  </si>
  <si>
    <t xml:space="preserve">15.68</t>
  </si>
  <si>
    <t xml:space="preserve">15.69</t>
  </si>
  <si>
    <t xml:space="preserve">15.70</t>
  </si>
  <si>
    <t xml:space="preserve">15.71</t>
  </si>
  <si>
    <t xml:space="preserve">15.72</t>
  </si>
  <si>
    <t xml:space="preserve">15.73</t>
  </si>
  <si>
    <t xml:space="preserve">15.74</t>
  </si>
  <si>
    <t xml:space="preserve">15.75</t>
  </si>
  <si>
    <t xml:space="preserve">15.76</t>
  </si>
  <si>
    <t xml:space="preserve">15.77</t>
  </si>
  <si>
    <t xml:space="preserve">15.78</t>
  </si>
  <si>
    <t xml:space="preserve">15.79</t>
  </si>
  <si>
    <t xml:space="preserve">15.80</t>
  </si>
  <si>
    <t xml:space="preserve">15.81</t>
  </si>
  <si>
    <t xml:space="preserve">15.82</t>
  </si>
  <si>
    <t xml:space="preserve">15.83</t>
  </si>
  <si>
    <t xml:space="preserve">15.84</t>
  </si>
  <si>
    <t xml:space="preserve">15.85</t>
  </si>
  <si>
    <t xml:space="preserve">15.86</t>
  </si>
  <si>
    <t xml:space="preserve">15.87</t>
  </si>
  <si>
    <t xml:space="preserve">15.88</t>
  </si>
  <si>
    <t xml:space="preserve">15.89</t>
  </si>
  <si>
    <t xml:space="preserve">15.90</t>
  </si>
  <si>
    <t xml:space="preserve">15.91</t>
  </si>
  <si>
    <t xml:space="preserve">15.92</t>
  </si>
  <si>
    <t xml:space="preserve">15.93</t>
  </si>
  <si>
    <t xml:space="preserve">15.94</t>
  </si>
  <si>
    <t xml:space="preserve">15.95</t>
  </si>
  <si>
    <t xml:space="preserve">15.96</t>
  </si>
  <si>
    <t xml:space="preserve">15.97</t>
  </si>
  <si>
    <t xml:space="preserve">15.98</t>
  </si>
  <si>
    <t xml:space="preserve">15.99</t>
  </si>
  <si>
    <t xml:space="preserve">15.100</t>
  </si>
  <si>
    <t xml:space="preserve">16.2</t>
  </si>
  <si>
    <t xml:space="preserve">Select</t>
  </si>
  <si>
    <t xml:space="preserve">16.3</t>
  </si>
  <si>
    <t xml:space="preserve">Ground rent demands</t>
  </si>
  <si>
    <t xml:space="preserve">Upload demands; record amount and frequency</t>
  </si>
  <si>
    <t xml:space="preserve">If ground rent is onerous or doubling (lender issue)</t>
  </si>
  <si>
    <t xml:space="preserve">Ground rent: £[x] per year</t>
  </si>
  <si>
    <t xml:space="preserve">16.4</t>
  </si>
  <si>
    <t xml:space="preserve">Lease clause</t>
  </si>
  <si>
    <t xml:space="preserve">Record how and when it increases</t>
  </si>
  <si>
    <t xml:space="preserve">If it doubles or rises steeply: may affect mortgage</t>
  </si>
  <si>
    <t xml:space="preserve">Ground rent increases</t>
  </si>
  <si>
    <t xml:space="preserve">16.5</t>
  </si>
  <si>
    <t xml:space="preserve">Title register of the freehold</t>
  </si>
  <si>
    <t xml:space="preserve">UMU can pull the freehold title from HMLR</t>
  </si>
  <si>
    <t xml:space="preserve">Freehold owner unknown</t>
  </si>
  <si>
    <t xml:space="preserve">16.6</t>
  </si>
  <si>
    <t xml:space="preserve">16.7</t>
  </si>
  <si>
    <t xml:space="preserve">Head lease</t>
  </si>
  <si>
    <t xml:space="preserve">Check title register</t>
  </si>
  <si>
    <t xml:space="preserve">Head lease in place</t>
  </si>
  <si>
    <t xml:space="preserve">16.8</t>
  </si>
  <si>
    <t xml:space="preserve">Ask neighbours or agent</t>
  </si>
  <si>
    <t xml:space="preserve">Building management unclear</t>
  </si>
  <si>
    <t xml:space="preserve">16.9</t>
  </si>
  <si>
    <t xml:space="preserve">Companies House record</t>
  </si>
  <si>
    <t xml:space="preserve">Search Companies House</t>
  </si>
  <si>
    <t xml:space="preserve">Always: company may need restoring</t>
  </si>
  <si>
    <t xml:space="preserve">Residents' management company dissolved</t>
  </si>
  <si>
    <t xml:space="preserve">16.10</t>
  </si>
  <si>
    <t xml:space="preserve">Agent details</t>
  </si>
  <si>
    <t xml:space="preserve">Add details</t>
  </si>
  <si>
    <t xml:space="preserve">16.11</t>
  </si>
  <si>
    <t xml:space="preserve">Uploaded</t>
  </si>
  <si>
    <t xml:space="preserve">Missing</t>
  </si>
  <si>
    <t xml:space="preserve">lease</t>
  </si>
  <si>
    <t xml:space="preserve">Download lease from HMLR (if referred to on title) or ask managing agent</t>
  </si>
  <si>
    <t xml:space="preserve">Only if document cannot be obtained</t>
  </si>
  <si>
    <t xml:space="preserve">Missing: lease</t>
  </si>
  <si>
    <t xml:space="preserve">16.12</t>
  </si>
  <si>
    <t xml:space="preserve">building rules</t>
  </si>
  <si>
    <t xml:space="preserve">Ask managing agent or company secretary</t>
  </si>
  <si>
    <t xml:space="preserve">Missing: building rules</t>
  </si>
  <si>
    <t xml:space="preserve">16.13</t>
  </si>
  <si>
    <t xml:space="preserve">landlord correspondence</t>
  </si>
  <si>
    <t xml:space="preserve">Missing: landlord correspondence</t>
  </si>
  <si>
    <t xml:space="preserve">16.14</t>
  </si>
  <si>
    <t xml:space="preserve">service charge records</t>
  </si>
  <si>
    <t xml:space="preserve">Missing: service charge records</t>
  </si>
  <si>
    <t xml:space="preserve">16.15</t>
  </si>
  <si>
    <t xml:space="preserve">ground rent records</t>
  </si>
  <si>
    <t xml:space="preserve">Missing: ground rent records</t>
  </si>
  <si>
    <t xml:space="preserve">16.16</t>
  </si>
  <si>
    <t xml:space="preserve">seller insurance policy</t>
  </si>
  <si>
    <t xml:space="preserve">Missing: seller insurance policy</t>
  </si>
  <si>
    <t xml:space="preserve">16.17</t>
  </si>
  <si>
    <t xml:space="preserve">building insurance schedule</t>
  </si>
  <si>
    <t xml:space="preserve">Missing: building insurance schedule</t>
  </si>
  <si>
    <t xml:space="preserve">16.18</t>
  </si>
  <si>
    <t xml:space="preserve">company articles</t>
  </si>
  <si>
    <t xml:space="preserve">Missing: company articles</t>
  </si>
  <si>
    <t xml:space="preserve">16.19</t>
  </si>
  <si>
    <t xml:space="preserve">share certificate</t>
  </si>
  <si>
    <t xml:space="preserve">Missing: share certificate</t>
  </si>
  <si>
    <t xml:space="preserve">16.20</t>
  </si>
  <si>
    <t xml:space="preserve">company accounts</t>
  </si>
  <si>
    <t xml:space="preserve">Missing: company accounts</t>
  </si>
  <si>
    <t xml:space="preserve">16.21</t>
  </si>
  <si>
    <t xml:space="preserve">Contact added</t>
  </si>
  <si>
    <t xml:space="preserve">Add contact</t>
  </si>
  <si>
    <t xml:space="preserve">Contact details missing</t>
  </si>
  <si>
    <t xml:space="preserve">16.22</t>
  </si>
  <si>
    <t xml:space="preserve">16.23</t>
  </si>
  <si>
    <t xml:space="preserve">16.24</t>
  </si>
  <si>
    <t xml:space="preserve">Check with managing agent</t>
  </si>
  <si>
    <t xml:space="preserve">16.25</t>
  </si>
  <si>
    <t xml:space="preserve">Year entered</t>
  </si>
  <si>
    <t xml:space="preserve">Estimate or ask agent</t>
  </si>
  <si>
    <t xml:space="preserve">16.26</t>
  </si>
  <si>
    <t xml:space="preserve">16.27</t>
  </si>
  <si>
    <t xml:space="preserve">16.28</t>
  </si>
  <si>
    <t xml:space="preserve">P33 Service charge problems, major works and arrears</t>
  </si>
  <si>
    <t xml:space="preserve">Section 20 consultation notices, budgets</t>
  </si>
  <si>
    <t xml:space="preserve">Upload notices and describe works</t>
  </si>
  <si>
    <t xml:space="preserve">If major works bill is imminent (buyer may seek retention)</t>
  </si>
  <si>
    <t xml:space="preserve">Major works expected: £[x] estimated</t>
  </si>
  <si>
    <t xml:space="preserve">16.29</t>
  </si>
  <si>
    <t xml:space="preserve">Correspondence</t>
  </si>
  <si>
    <t xml:space="preserve">Describe issues</t>
  </si>
  <si>
    <t xml:space="preserve">If ongoing</t>
  </si>
  <si>
    <t xml:space="preserve">Service charge or management problems</t>
  </si>
  <si>
    <t xml:space="preserve">16.30</t>
  </si>
  <si>
    <t xml:space="preserve">Challenge correspondence, tribunal papers</t>
  </si>
  <si>
    <t xml:space="preserve">Upload</t>
  </si>
  <si>
    <t xml:space="preserve">If still ongoing</t>
  </si>
  <si>
    <t xml:space="preserve">Service charge challenged</t>
  </si>
  <si>
    <t xml:space="preserve">16.31</t>
  </si>
  <si>
    <t xml:space="preserve">P33 Service charge problems, major works and arrears; P36 Building safety and cladding</t>
  </si>
  <si>
    <t xml:space="preserve">Yes, or suspected</t>
  </si>
  <si>
    <t xml:space="preserve">EWS1 form, fire risk assessment, remediation notices</t>
  </si>
  <si>
    <t xml:space="preserve">Upload any safety documents</t>
  </si>
  <si>
    <t xml:space="preserve">Cladding or building safety concern</t>
  </si>
  <si>
    <t xml:space="preserve">16.32</t>
  </si>
  <si>
    <t xml:space="preserve">Difficulty collecting service charges from others</t>
  </si>
  <si>
    <t xml:space="preserve">16.33</t>
  </si>
  <si>
    <t xml:space="preserve">Statement of amounts owed</t>
  </si>
  <si>
    <t xml:space="preserve">Upload statement</t>
  </si>
  <si>
    <t xml:space="preserve">Always: must be settled or apportioned</t>
  </si>
  <si>
    <t xml:space="preserve">Arrears owed</t>
  </si>
  <si>
    <t xml:space="preserve">16.34</t>
  </si>
  <si>
    <t xml:space="preserve">Duplicate of Q245: remove</t>
  </si>
  <si>
    <t xml:space="preserve">16.35</t>
  </si>
  <si>
    <t xml:space="preserve">P34 Leasehold notices, consents and alterations</t>
  </si>
  <si>
    <t xml:space="preserve">Notice</t>
  </si>
  <si>
    <t xml:space="preserve">Upload notice</t>
  </si>
  <si>
    <t xml:space="preserve">Right of first refusal timelines</t>
  </si>
  <si>
    <t xml:space="preserve">Landlord selling building</t>
  </si>
  <si>
    <t xml:space="preserve">16.36</t>
  </si>
  <si>
    <t xml:space="preserve">If it imposes cost</t>
  </si>
  <si>
    <t xml:space="preserve">Building notice received</t>
  </si>
  <si>
    <t xml:space="preserve">16.37</t>
  </si>
  <si>
    <t xml:space="preserve">Deed of variation or licence</t>
  </si>
  <si>
    <t xml:space="preserve">If consent should have been obtained but wasn't</t>
  </si>
  <si>
    <t xml:space="preserve">Lease changed or landlord consents given</t>
  </si>
  <si>
    <t xml:space="preserve">16.38</t>
  </si>
  <si>
    <t xml:space="preserve">If unresolved</t>
  </si>
  <si>
    <t xml:space="preserve">Complaint received from landlord or neighbour</t>
  </si>
  <si>
    <t xml:space="preserve">16.39</t>
  </si>
  <si>
    <t xml:space="preserve">Seller has complained about landlord or neighbour</t>
  </si>
  <si>
    <t xml:space="preserve">16.40</t>
  </si>
  <si>
    <t xml:space="preserve">Description, dates</t>
  </si>
  <si>
    <t xml:space="preserve">Describe works (then Q259)</t>
  </si>
  <si>
    <t xml:space="preserve">See Q259</t>
  </si>
  <si>
    <t xml:space="preserve">Alterations since lease granted</t>
  </si>
  <si>
    <t xml:space="preserve">16.41</t>
  </si>
  <si>
    <t xml:space="preserve">Yes, consent uploaded</t>
  </si>
  <si>
    <t xml:space="preserve">No consent</t>
  </si>
  <si>
    <t xml:space="preserve">Licence for alterations</t>
  </si>
  <si>
    <t xml:space="preserve">Ask landlord for a copy</t>
  </si>
  <si>
    <t xml:space="preserve">Always: retrospective consent may be needed</t>
  </si>
  <si>
    <t xml:space="preserve">Alterations without landlord consent</t>
  </si>
  <si>
    <t xml:space="preserve">16.42</t>
  </si>
  <si>
    <t xml:space="preserve">P35 Lease extension or buying the freehold</t>
  </si>
  <si>
    <t xml:space="preserve">16.43</t>
  </si>
  <si>
    <t xml:space="preserve">Notice served</t>
  </si>
  <si>
    <t xml:space="preserve">Always: the claim can often be assigned to the buyer</t>
  </si>
  <si>
    <t xml:space="preserve">Lease extension or freehold claim in progress</t>
  </si>
  <si>
    <t xml:space="preserve">16.44</t>
  </si>
  <si>
    <t xml:space="preserve">Collective freehold purchase notice</t>
  </si>
  <si>
    <t xml:space="preserve">16.45</t>
  </si>
  <si>
    <t xml:space="preserve">Response documents</t>
  </si>
  <si>
    <t xml:space="preserve">Response to enfranchisement notice</t>
  </si>
  <si>
    <t xml:space="preserve">16.46</t>
  </si>
  <si>
    <t xml:space="preserve">P36 Building safety and cladding</t>
  </si>
  <si>
    <t xml:space="preserve">Remediation details</t>
  </si>
  <si>
    <t xml:space="preserve">Upload details</t>
  </si>
  <si>
    <t xml:space="preserve">Building remediation proposed or done</t>
  </si>
  <si>
    <t xml:space="preserve">16.47</t>
  </si>
  <si>
    <t xml:space="preserve">Answered with deed</t>
  </si>
  <si>
    <t xml:space="preserve">Leaseholder deed of certificate</t>
  </si>
  <si>
    <t xml:space="preserve">Answer following questions</t>
  </si>
  <si>
    <t xml:space="preserve">If building is 11m+ or 5+ storeys</t>
  </si>
  <si>
    <t xml:space="preserve">Building safety status unconfirmed</t>
  </si>
  <si>
    <t xml:space="preserve">16.48</t>
  </si>
  <si>
    <t xml:space="preserve">Deed</t>
  </si>
  <si>
    <t xml:space="preserve">Complete deed with conveyancer help</t>
  </si>
  <si>
    <t xml:space="preserve">If building is in scope</t>
  </si>
  <si>
    <t xml:space="preserve">No leaseholder deed of certificate</t>
  </si>
  <si>
    <t xml:space="preserve">16.49</t>
  </si>
  <si>
    <t xml:space="preserve">16.50</t>
  </si>
  <si>
    <t xml:space="preserve">Deed and evidence</t>
  </si>
  <si>
    <t xml:space="preserve">If missing</t>
  </si>
  <si>
    <t xml:space="preserve">Leaseholder deed missing</t>
  </si>
  <si>
    <t xml:space="preserve">16.51</t>
  </si>
  <si>
    <t xml:space="preserve">Tell landlord you intend to sell</t>
  </si>
  <si>
    <t xml:space="preserve">Landlord not yet notified of sale</t>
  </si>
  <si>
    <t xml:space="preserve">16.52</t>
  </si>
  <si>
    <t xml:space="preserve">Yes, uploaded</t>
  </si>
  <si>
    <t xml:space="preserve">Landlord's certificate</t>
  </si>
  <si>
    <t xml:space="preserve">Chase landlord</t>
  </si>
  <si>
    <t xml:space="preserve">If landlord does not provide it</t>
  </si>
  <si>
    <t xml:space="preserve">Landlord's certificate not received</t>
  </si>
  <si>
    <t xml:space="preserve">17.1</t>
  </si>
  <si>
    <t xml:space="preserve">P37 Title register and plan</t>
  </si>
  <si>
    <t xml:space="preserve">Uploaded or pulled by UMU</t>
  </si>
  <si>
    <t xml:space="preserve">UMU pulls from HMLR</t>
  </si>
  <si>
    <t xml:space="preserve">Only if unregistered</t>
  </si>
  <si>
    <t xml:space="preserve">17.2</t>
  </si>
  <si>
    <t xml:space="preserve">Title plan</t>
  </si>
  <si>
    <t xml:space="preserve">18.1</t>
  </si>
  <si>
    <t xml:space="preserve">P03 Planning permission or permitted development evidence; P12 Notices and nearby development</t>
  </si>
  <si>
    <t xml:space="preserve">Planning record</t>
  </si>
  <si>
    <t xml:space="preserve">Link record</t>
  </si>
  <si>
    <t xml:space="preserve">If it affects the property</t>
  </si>
  <si>
    <t xml:space="preserve">Planning notice or proposal</t>
  </si>
  <si>
    <t xml:space="preserve">18.2</t>
  </si>
  <si>
    <t xml:space="preserve">P38 Searches</t>
  </si>
  <si>
    <t xml:space="preserve">Uploaded, no adverse entries</t>
  </si>
  <si>
    <t xml:space="preserve">Adverse entries</t>
  </si>
  <si>
    <t xml:space="preserve">Drainage and water search</t>
  </si>
  <si>
    <t xml:space="preserve">Upload; UMU surfaces adverse entries</t>
  </si>
  <si>
    <t xml:space="preserve">Any adverse entry needing interpretation</t>
  </si>
  <si>
    <t xml:space="preserve">Drainage and water search: adverse entry</t>
  </si>
  <si>
    <t xml:space="preserve">18.3</t>
  </si>
  <si>
    <t xml:space="preserve">Environmental search</t>
  </si>
  <si>
    <t xml:space="preserve">Environmental search: adverse entry</t>
  </si>
  <si>
    <t xml:space="preserve">18.4</t>
  </si>
  <si>
    <t xml:space="preserve">Flood search</t>
  </si>
  <si>
    <t xml:space="preserve">Flood search: adverse entry</t>
  </si>
  <si>
    <t xml:space="preserve">18.5</t>
  </si>
  <si>
    <t xml:space="preserve">Local authority search</t>
  </si>
  <si>
    <t xml:space="preserve">Local authority search: adverse entry</t>
  </si>
  <si>
    <t xml:space="preserve">18.6</t>
  </si>
  <si>
    <t xml:space="preserve">Mining search</t>
  </si>
  <si>
    <t xml:space="preserve">Mining search: adverse entry</t>
  </si>
  <si>
    <t xml:space="preserve">ID</t>
  </si>
  <si>
    <t xml:space="preserve">Pathway</t>
  </si>
  <si>
    <t xml:space="preserve">Questions (section and number)</t>
  </si>
  <si>
    <t xml:space="preserve">1. The issue</t>
  </si>
  <si>
    <t xml:space="preserve">2. Why it matters</t>
  </si>
  <si>
    <t xml:space="preserve">3. Now or at sale</t>
  </si>
  <si>
    <t xml:space="preserve">4. Check what you have</t>
  </si>
  <si>
    <t xml:space="preserve">5. Steps you can take today</t>
  </si>
  <si>
    <t xml:space="preserve">6. Where we stop</t>
  </si>
  <si>
    <t xml:space="preserve">7. What the passport shows</t>
  </si>
  <si>
    <t xml:space="preserve">To validate</t>
  </si>
  <si>
    <t xml:space="preserve">P01</t>
  </si>
  <si>
    <t xml:space="preserve">Windows or doors with no FENSA certificate</t>
  </si>
  <si>
    <t xml:space="preserve">Guarantees and Warranties Q5</t>
  </si>
  <si>
    <t xml:space="preserve">Your windows or doors were replaced after April 2002, but there's no certificate showing they meet building regulations.</t>
  </si>
  <si>
    <t xml:space="preserve">Since April 2002 replacement windows and doors must meet building regulations. The proof is a certificate from a registered installer (FENSA or another scheme such as CERTASS) or council sign-off. Buyers' conveyancers ask for it, and some lenders won't lend without it or an alternative.</t>
  </si>
  <si>
    <t xml:space="preserve">Now: usually same day to two weeks. At sale: typically adds one to three weeks of questions, and the buyer may ask you to pay for a solution or reduce the price.</t>
  </si>
  <si>
    <t xml:space="preserve">Your purchase paperwork (seller's property information form, your solicitor's report on title, completion pack).</t>
  </si>
  <si>
    <t xml:space="preserve">1. Search your address on the FENSA certificate service (5 minutes, free) → Found: order a replacement (£30) and upload → Resolved. Not found: step 2.
2. Check the invoice for another scheme logo, such as CERTASS, and search that register (15 minutes, free) → Found: order a copy → Resolved. Not found: step 3.
3. Contact the installer and ask whether they registered the job; if they belonged to a scheme, ask them to register it now (1 to 4 weeks, usually free) → Registered: Resolved. Company gone or not registered: step 4.
4. Gather evidence: installation date, which windows, invoice, installer name, photos including safety glass markings (30 minutes) → Flagged: ready for a conveyancer.</t>
  </si>
  <si>
    <t xml:space="preserve">Choice between retrospective council sign-off (regularisation certificate) and indemnity insurance. Warn: do not contact building control before speaking to a conveyancer, or indemnity cover is usually refused.</t>
  </si>
  <si>
    <t xml:space="preserve">Certificate found: Resolved. Evidence gathered: Flagged, ready for a conveyancer. Route completed: Resolved (conveyancer verified).</t>
  </si>
  <si>
    <t xml:space="preserve">Validate timings; confirm current FENSA fee.</t>
  </si>
  <si>
    <t xml:space="preserve">P02</t>
  </si>
  <si>
    <t xml:space="preserve">Building work without building regulations sign-off</t>
  </si>
  <si>
    <t xml:space="preserve">Alterations and Planning Q2, Q3, Q4, Q5</t>
  </si>
  <si>
    <t xml:space="preserve">Building work has been done (for example an extension, loft conversion, removed wall or new bathroom), but there's no certificate showing it was signed off.</t>
  </si>
  <si>
    <t xml:space="preserve">Most structural work, extensions, loft conversions and many internal changes need building regulations approval, shown by a completion certificate. Without it, a buyer's lender may refuse to lend, or ask for indemnity insurance or retrospective sign-off.</t>
  </si>
  <si>
    <t xml:space="preserve">Now: from a day (if a certificate exists) to a few weeks. At sale: one of the most common causes of delay, often two to six weeks, and a frequent reason for renegotiation.</t>
  </si>
  <si>
    <t xml:space="preserve">Your purchase paperwork; the builder's or architect's files; any approved inspector (private building control) paperwork.</t>
  </si>
  <si>
    <t xml:space="preserve">1. List each piece of work, with dates, builder and what was done (15 minutes) → next step.
2. Check the council's online planning and building control records for the address (15 minutes, free); many councils show completion certificates online → Found: download and upload → Resolved. Not found online: step 3.
3. Ask the builder or architect for the completion certificate, or the name of the building control body they used (1 to 3 weeks) → Found: Resolved. Not found: step 4.
4. If a private approved inspector was used, ask them for a copy of the final certificate (1 to 3 weeks, small fee possible) → Found: Resolved. Not found: step 5.
5. Gather evidence: plans, invoices, photos, structural engineer calculations, any inspection letters → Flagged: ready for a conveyancer. Unfinished work: record what remains and when it will be finished.</t>
  </si>
  <si>
    <t xml:space="preserve">Choice between retrospective sign-off (regularisation certificate, works after November 1985), indemnity insurance, or doing nothing and disclosing. Warn: do not ask the council about work that was never approved until you have spoken to a conveyancer.</t>
  </si>
  <si>
    <t xml:space="preserve">Certificate found: Resolved. Evidence gathered: Flagged, ready for a conveyancer. Unfinished works: Flagged. Breach or unresolved council issue (Q28, Q29): Needs a conveyancer.</t>
  </si>
  <si>
    <t xml:space="preserve">Conveyancer to confirm wording on requesting copies from councils without affecting indemnity.</t>
  </si>
  <si>
    <t xml:space="preserve">P03</t>
  </si>
  <si>
    <t xml:space="preserve">Planning permission or permitted development evidence</t>
  </si>
  <si>
    <t xml:space="preserve">Alterations and Planning Q2, Q4; Searches Q1</t>
  </si>
  <si>
    <t xml:space="preserve">Work has been done that may have needed planning permission, and there's no decision notice on file.</t>
  </si>
  <si>
    <t xml:space="preserve">Buyers want proof that extensions, conversions or changes of use were allowed, either by planning permission or under permitted development rights. Planning conditions attached to a permission also need to have been met.</t>
  </si>
  <si>
    <t xml:space="preserve">Now: usually same day to a week to find records. At sale: typically one to four weeks of questions, longer if the council has to be involved.</t>
  </si>
  <si>
    <t xml:space="preserve">Your purchase paperwork; the council's online planning register.</t>
  </si>
  <si>
    <t xml:space="preserve">1. Search the council's planning register for the address (10 minutes, free) → Permission found: download the decision notice and approved plans → check conditions. Not found: step 2.
2. Check each condition on the decision notice (for example obscure glazing, materials) and note whether it was met, with photos → All met: Resolved. Unsure or not met: Flagged.
3. If no permission exists, record the work, its size and completion date, with photos → Flagged: ready for a conveyancer.</t>
  </si>
  <si>
    <t xml:space="preserve">Whether the work was permitted development, whether to apply for a lawful development certificate or retrospective permission, and whether enforcement time limits have passed. These are conveyancer decisions; time limits changed in England in April 2024.</t>
  </si>
  <si>
    <t xml:space="preserve">Permission and conditions met: Resolved. Conditions unclear or no permission found: Flagged, ready for a conveyancer.</t>
  </si>
  <si>
    <t xml:space="preserve">Conveyancer to confirm current enforcement time limits wording.</t>
  </si>
  <si>
    <t xml:space="preserve">P04</t>
  </si>
  <si>
    <t xml:space="preserve">Listed building, conservation area, Article 4 or protected trees</t>
  </si>
  <si>
    <t xml:space="preserve">Alterations and Planning Q9, Q10, Q11, Q12</t>
  </si>
  <si>
    <t xml:space="preserve">Your home is listed, in a conservation area, or has protected trees, and some work may have needed extra consent.</t>
  </si>
  <si>
    <t xml:space="preserve">These designations restrict what you can change. Unauthorised works to a listed building are a criminal offence with no time limit, so buyers check consents carefully.</t>
  </si>
  <si>
    <t xml:space="preserve">Now: same day to a week to confirm the designation and find consents. At sale: can add weeks, and unconsented listed building work can stop a sale.</t>
  </si>
  <si>
    <t xml:space="preserve">Your purchase paperwork; Historic England list entry; council conservation area and tree preservation order maps.</t>
  </si>
  <si>
    <t xml:space="preserve">1. Confirm the designation: search the Historic England list and the council's conservation area and tree preservation order maps (15 minutes, free) → Not designated: Resolved. Designated: step 2.
2. List any work done since the designation (windows, doors, roofs, extensions, tree works) → None: Resolved. Some: step 3.
3. Search the council planning register for listed building consent, conservation area consent or tree works consent (15 minutes) → Found for all work: upload → Resolved. Missing: step 4.
4. Gather evidence: dates, photos, invoices, contractor details → Listed building works without consent: Needs a conveyancer. Other designations: Flagged.</t>
  </si>
  <si>
    <t xml:space="preserve">How to deal with unconsented works, including whether to approach the council. Do not contact the council about unconsented listed building works before taking advice.</t>
  </si>
  <si>
    <t xml:space="preserve">Designation recorded, consents found: Resolved. Consent missing: Flagged, or Needs a conveyancer for listed buildings.</t>
  </si>
  <si>
    <t xml:space="preserve">Timings and costs</t>
  </si>
  <si>
    <t xml:space="preserve">P05</t>
  </si>
  <si>
    <t xml:space="preserve">Solar panels: ownership, lease or paperwork</t>
  </si>
  <si>
    <t xml:space="preserve">Alterations and Planning Q6, Q7, Q8</t>
  </si>
  <si>
    <t xml:space="preserve">You have solar panels, and a buyer will need to know who owns them and what paperwork comes with them.</t>
  </si>
  <si>
    <t xml:space="preserve">Panels you own outright are simple. Panels installed under a roof lease ("free" solar schemes) mean a company leases part of your roof, and many lenders must approve the lease before lending.</t>
  </si>
  <si>
    <t xml:space="preserve">Now: owned panels, same day. Leased panels, one to eight weeks to get the lease and provider details. At sale: leased panels are a common cause of delay and some lenders refuse.</t>
  </si>
  <si>
    <t xml:space="preserve">Your purchase paperwork; the installer's pack; MCS certificate; feed-in tariff or export statements.</t>
  </si>
  <si>
    <t xml:space="preserve">1. Confirm whether you own the panels or they are under a lease (5 minutes) → Owned: step 2. Leased: step 3.
2. Upload the MCS certificate, invoice, guarantee and tariff paperwork → Resolved.
3. Upload the roof lease and the provider's contact details; check whether the provider is still trading (30 minutes) → Flagged: ready for a conveyancer.</t>
  </si>
  <si>
    <t xml:space="preserve">Whether the lease is acceptable to lenders, and whether to buy out the lease or ask the provider for a lender-approved variation.</t>
  </si>
  <si>
    <t xml:space="preserve">Owned with paperwork: Resolved. Leased: Needs a conveyancer.</t>
  </si>
  <si>
    <t xml:space="preserve">P06</t>
  </si>
  <si>
    <t xml:space="preserve">Missing guarantee or warranty</t>
  </si>
  <si>
    <t xml:space="preserve">Guarantees and Warranties Q2–Q9</t>
  </si>
  <si>
    <t xml:space="preserve">Work was done with a guarantee (for example damp proofing, timber treatment, roofing, heating, or a new home warranty), but you can't find the certificate.</t>
  </si>
  <si>
    <t xml:space="preserve">Guarantees reassure buyers and their surveyors, and some transfer to the new owner. Underpinning or subsidence guarantees are especially important because they show past movement was dealt with.</t>
  </si>
  <si>
    <t xml:space="preserve">Now: usually a day to three weeks. At sale: typically one to two weeks, and missing damp or subsidence paperwork can trigger further surveys.</t>
  </si>
  <si>
    <t xml:space="preserve">Your purchase paperwork; the contractor's paperwork; any insurance-backed guarantee documents.</t>
  </si>
  <si>
    <t xml:space="preserve">1. Note the work, contractor and approximate date (10 minutes).
2. Contact the contractor or the guarantee body named on any paperwork and ask for a copy (1 to 3 weeks, usually free) → Found: upload, and note whether it transfers to a buyer → Resolved. Not found: step 3.
3. New home within 10 years: ask the warranty provider (for example NHBC, Premier, LABC Warranty) for a copy of the cover note (1 to 2 weeks) → Found: Resolved.
4. If none can be found, upload invoices and photos → Flagged. Any claim made or outstanding: record it and upload correspondence → Flagged, ready for a conveyancer.</t>
  </si>
  <si>
    <t xml:space="preserve">Whether a missing subsidence or underpinning guarantee, or an outstanding claim, needs further action.</t>
  </si>
  <si>
    <t xml:space="preserve">Found: Resolved. Missing: Flagged. Claim or underpinning without paperwork: Flagged, ready for a conveyancer.</t>
  </si>
  <si>
    <t xml:space="preserve">P07</t>
  </si>
  <si>
    <t xml:space="preserve">Electrical work or testing certificates</t>
  </si>
  <si>
    <t xml:space="preserve">Services Q2, Q3</t>
  </si>
  <si>
    <t xml:space="preserve">Electrical work has been done since 2005, or the wiring hasn't been tested, and there's no certificate.</t>
  </si>
  <si>
    <t xml:space="preserve">Since January 2005 most electrical work in homes must meet building regulations (Part P), shown by a certificate from a registered electrician. A recent test report reassures buyers and surveyors.</t>
  </si>
  <si>
    <t xml:space="preserve">Now: same day to two weeks. At sale: typically one to two weeks, and surveyors often recommend a test anyway.</t>
  </si>
  <si>
    <t xml:space="preserve">Your purchase paperwork; the electrician's paperwork.</t>
  </si>
  <si>
    <t xml:space="preserve">1. Search the electrical competent person register for your address or electrician (10 minutes, free) → Found: order or download the certificate → Resolved. Not found: step 2.
2. Ask the electrician or their scheme (for example NICEIC or NAPIT) for a copy (1 to 3 weeks) → Found: Resolved. Not found: step 3.
3. Book an electrical installation condition report (EICR) from a registered electrician (1 to 2 weeks; typically a few hundred pounds) → Satisfactory: upload → Resolved (shows the installation is safe, not that the work was notified). Unsatisfactory: upload the report and quote for remedial works → Flagged.</t>
  </si>
  <si>
    <t xml:space="preserve">Whether a missing Part P certificate needs retrospective sign-off or indemnity insurance.</t>
  </si>
  <si>
    <t xml:space="preserve">Certificate or satisfactory EICR: Resolved. Missing certificate: Flagged, ready for a conveyancer. Unsatisfactory EICR: Flagged.</t>
  </si>
  <si>
    <t xml:space="preserve">P08</t>
  </si>
  <si>
    <t xml:space="preserve">Boiler, heating and gas certificates</t>
  </si>
  <si>
    <t xml:space="preserve">Services Q4, Q5, Q6, Q7, Q8</t>
  </si>
  <si>
    <t xml:space="preserve">Your boiler or heating system has no installation certificate, or hasn't been serviced recently.</t>
  </si>
  <si>
    <t xml:space="preserve">Gas boilers installed since 2005 should have a building regulations compliance certificate from a Gas Safe registered engineer (OFTEC for oil). Service records show the system has been looked after.</t>
  </si>
  <si>
    <t xml:space="preserve">Now: same day to two weeks. At sale: typically a week of questions; surveyors often flag old or unserviced boilers.</t>
  </si>
  <si>
    <t xml:space="preserve">Your purchase paperwork; the boiler manual (installers often leave the certificate inside); engineer invoices.</t>
  </si>
  <si>
    <t xml:space="preserve">1. Check the Gas Safe Register for a building regulations compliance certificate for your address, and order a copy if found (10 minutes, small fee) → Found: upload → Resolved. Oil: ask OFTEC or the installer. Not found: step 2.
2. Ask the installer for a copy (1 to 3 weeks) → Found: Resolved. Not found: Flagged.
3. Service: book a service with a registered engineer and upload the record (1 to 2 weeks; typical service fee) → Resolved.
4. Not working properly: upload the engineer's report and quote → Flagged.
5. Oil or LPG: upload supply contracts and tank details; LPG contracts may need transferring to the buyer → Flagged.</t>
  </si>
  <si>
    <t xml:space="preserve">Whether a missing installation certificate needs retrospective sign-off or indemnity.</t>
  </si>
  <si>
    <t xml:space="preserve">Certificate and recent service: Resolved. Missing certificate: Flagged, ready for a conveyancer. Not serviced: Flagged until serviced.</t>
  </si>
  <si>
    <t xml:space="preserve">P09</t>
  </si>
  <si>
    <t xml:space="preserve">Boundaries that differ, have moved, or include extra land</t>
  </si>
  <si>
    <t xml:space="preserve">Boundaries Q2, Q3, Q4, Q5, Q6</t>
  </si>
  <si>
    <t xml:space="preserve">Your boundaries don't match the title plan, a fence or wall has moved, or you use land outside your title.</t>
  </si>
  <si>
    <t xml:space="preserve">Buyers and lenders rely on the title plan. Differences can mean the buyer isn't getting what they see, or that land needs to be formally transferred.</t>
  </si>
  <si>
    <t xml:space="preserve">Now: one to four weeks to gather evidence. At sale: often two to eight weeks, and a boundary issue can make a buyer withdraw.</t>
  </si>
  <si>
    <t xml:space="preserve">Your purchase paperwork; the title plan (UMU pulls this automatically); any agreement with neighbours.</t>
  </si>
  <si>
    <t xml:space="preserve">1. Mark each boundary on the title plan: mine, neighbour's, shared, not known (15 minutes) → Matches: Resolved.
2. Photograph each boundary that looks different and record what changed and when (30 minutes).
3. Upload any written agreement with the neighbour, or transfer deed for land you bought (15 minutes) → Land bought and registered: Resolved. Not registered: step 4.
4. Record any land you use but don't own, and how long you've used it → Flagged: ready for a conveyancer.
Warn: don't move fences or raise it with neighbours to fix it before taking advice.</t>
  </si>
  <si>
    <t xml:space="preserve">Whether a boundary agreement, land transfer, registration application or indemnity is needed. A neighbour dispute always goes to a conveyancer.</t>
  </si>
  <si>
    <t xml:space="preserve">Matches: Resolved. Differences: Flagged, ready for a conveyancer. Dispute: Needs a conveyancer.</t>
  </si>
  <si>
    <t xml:space="preserve">P10</t>
  </si>
  <si>
    <t xml:space="preserve">Party wall works</t>
  </si>
  <si>
    <t xml:space="preserve">Boundaries Q7</t>
  </si>
  <si>
    <t xml:space="preserve">You or a neighbour did work on a shared wall, and a buyer will want the party wall paperwork.</t>
  </si>
  <si>
    <t xml:space="preserve">The Party Wall etc. Act 1996 requires notice for certain works to shared walls. Buyers want to see the notice, any award, and that the work is finished.</t>
  </si>
  <si>
    <t xml:space="preserve">Now: same day to two weeks. At sale: typically one to three weeks.</t>
  </si>
  <si>
    <t xml:space="preserve">Your files; the neighbour's surveyor; the party wall surveyor's schedule of condition.</t>
  </si>
  <si>
    <t xml:space="preserve">1. Upload the notice, any award and the schedule of condition (15 minutes) → All present, works finished: Resolved.
2. Missing: ask the surveyor who acted for a copy (1 to 2 weeks) → Found: Resolved.
3. No notice or award was ever served, or works are unfinished or disputed → Flagged: ready for a conveyancer.</t>
  </si>
  <si>
    <t xml:space="preserve">What to do where notice wasn't served or there is a dispute.</t>
  </si>
  <si>
    <t xml:space="preserve">Paperwork complete: Resolved. Missing or disputed: Flagged, ready for a conveyancer.</t>
  </si>
  <si>
    <t xml:space="preserve">P11</t>
  </si>
  <si>
    <t xml:space="preserve">Disputes, complaints and other things a buyer should know</t>
  </si>
  <si>
    <t xml:space="preserve">Disputes and Complaints Q1, Q2</t>
  </si>
  <si>
    <t xml:space="preserve">There has been a dispute or complaint about your home or a neighbour's, or something else a buyer should know.</t>
  </si>
  <si>
    <t xml:space="preserve">You must answer honestly. Hidden disputes are one of the most common reasons buyers sue sellers after completion. Noise, crime at the property and failed sales in the last year are also asked about.</t>
  </si>
  <si>
    <t xml:space="preserve">Now: an hour to write it down properly. At sale: disclosure wording is checked by both conveyancers and can add weeks.</t>
  </si>
  <si>
    <t xml:space="preserve">Letters, emails, council or police reference numbers, and settlement documents.</t>
  </si>
  <si>
    <t xml:space="preserve">1. Write a short factual timeline: what happened, when, who was involved, and how it ended (30 minutes).
2. Upload letters, emails and any settlement agreement (15 minutes) → Fully settled with proof: Flagged (disclosed).
3. Ongoing or likely → Needs a conveyancer.</t>
  </si>
  <si>
    <t xml:space="preserve">How to word the disclosure. This is always a conveyancer's job.</t>
  </si>
  <si>
    <t xml:space="preserve">Settled and documented: Flagged (disclosed). Ongoing: Needs a conveyancer.</t>
  </si>
  <si>
    <t xml:space="preserve">P12</t>
  </si>
  <si>
    <t xml:space="preserve">Notices and nearby development</t>
  </si>
  <si>
    <t xml:space="preserve">Notices and Proposals Q1, Q2; Searches Q1</t>
  </si>
  <si>
    <t xml:space="preserve">You've received a notice, or there are plans for development near your home.</t>
  </si>
  <si>
    <t xml:space="preserve">Buyers want to know about anything that could affect the property's value, use or enjoyment.</t>
  </si>
  <si>
    <t xml:space="preserve">Now: same day. At sale: usually a few days, longer if the notice needs explaining.</t>
  </si>
  <si>
    <t xml:space="preserve">The notice or letter; the council's planning register.</t>
  </si>
  <si>
    <t xml:space="preserve">1. Upload the notice or letter (5 minutes).
2. Link the council planning record for any nearby application (10 minutes) → Nearby development only: Flagged (disclosed).
3. Compulsory purchase, enforcement or a notice that could cost you money → Needs a conveyancer.</t>
  </si>
  <si>
    <t xml:space="preserve">Assessing the effect of compulsory purchase, enforcement or cost-bearing notices.</t>
  </si>
  <si>
    <t xml:space="preserve">Recorded: Flagged (disclosed). Serious notice: Needs a conveyancer.</t>
  </si>
  <si>
    <t xml:space="preserve">P13</t>
  </si>
  <si>
    <t xml:space="preserve">Insurance difficulties and claims</t>
  </si>
  <si>
    <t xml:space="preserve">Insurance Q1–Q7</t>
  </si>
  <si>
    <t xml:space="preserve">Your buildings insurance has been refused, loaded, restricted, or claimed on.</t>
  </si>
  <si>
    <t xml:space="preserve">Buyers need to insure from exchange. Past claims or refusals often point to flooding or subsidence, which lenders and surveyors look at closely.</t>
  </si>
  <si>
    <t xml:space="preserve">Now: same day to a week. At sale: can add weeks if the buyer struggles to get cover.</t>
  </si>
  <si>
    <t xml:space="preserve">Your policy schedules; insurer letters; claim correspondence and repair invoices.</t>
  </si>
  <si>
    <t xml:space="preserve">1. Upload your current policy schedule (5 minutes). Flat: ask the managing agent for the building policy.
2. List any claims with date, cause and repairs, and upload invoices (20 minutes) → Repaired: Flagged (disclosed).
3. Upload any refusal or special terms letter and note the reason (10 minutes). Flood-related: see the flooding pathway; Flood Re may help buyers get cover.
4. Refused cover or subsidence-related → Flagged: ready for a conveyancer.</t>
  </si>
  <si>
    <t xml:space="preserve">Whether the insurance history affects lending or needs further surveys.</t>
  </si>
  <si>
    <t xml:space="preserve">Normal cover: Resolved. Claims disclosed: Flagged. Refusal or subsidence: Flagged, ready for a conveyancer.</t>
  </si>
  <si>
    <t xml:space="preserve">P14</t>
  </si>
  <si>
    <t xml:space="preserve">Environmental Q2, Q3, Q4; Searches Q4</t>
  </si>
  <si>
    <t xml:space="preserve">Your home, or its land, has flooded, or is in a flood risk area.</t>
  </si>
  <si>
    <t xml:space="preserve">Flood history affects insurance, mortgages and value. Buyers will check flood risk anyway, so evidence of repairs and protection helps.</t>
  </si>
  <si>
    <t xml:space="preserve">Now: same day to a week. At sale: often one to three weeks, and insurance problems can stop a sale.</t>
  </si>
  <si>
    <t xml:space="preserve">Insurance claims; repair invoices; any flood resistance products fitted.</t>
  </si>
  <si>
    <t xml:space="preserve">1. Check the government's long-term flood risk service for your address and save the result (5 minutes, free).
2. If it has flooded: record date, type (river, sea, surface water, groundwater, sewer), cause and repairs, and upload invoices and claims (30 minutes).
3. Record any flood defences fitted (door barriers, air brick covers, non-return valves) → Flagged (disclosed).
4. Repeated flooding or insurance difficulty → Flagged: ready for a conveyancer.</t>
  </si>
  <si>
    <t xml:space="preserve">Whether flood history affects lending or needs specialist advice.</t>
  </si>
  <si>
    <t xml:space="preserve">No flooding, low risk: Resolved. Past flooding repaired: Flagged. Repeated or uninsurable: Flagged, ready for a conveyancer.</t>
  </si>
  <si>
    <t xml:space="preserve">P15</t>
  </si>
  <si>
    <t xml:space="preserve">Environmental Q5, Q6, Q7</t>
  </si>
  <si>
    <t xml:space="preserve">Your home is in a radon-affected area and hasn't been tested, or a test was high.</t>
  </si>
  <si>
    <t xml:space="preserve">Radon is a natural radioactive gas. Buyers in affected areas often ask for test results.</t>
  </si>
  <si>
    <t xml:space="preserve">Now: a radon test takes about three months, so this is a clear case for starting early. At sale: there's no time to test, so it becomes a negotiating point.</t>
  </si>
  <si>
    <t xml:space="preserve">Previous test results; any radon sump or membrane installed.</t>
  </si>
  <si>
    <t xml:space="preserve">1. Check the UK radon map for your address (5 minutes, free) → Not affected: Resolved.
2. Affected: order a home test kit (3 months; modest cost) → Below action level: upload → Resolved.
3. Above action level: get a remediation quote, install a sump or ventilation, retest, and upload all reports → Resolved once retested below the level; otherwise Flagged.</t>
  </si>
  <si>
    <t xml:space="preserve">Rarely needed; a conveyancer only advises on disclosure if results remain high.</t>
  </si>
  <si>
    <t xml:space="preserve">Not affected or low: Resolved. High, remediated: Resolved. High, not remediated: Flagged.</t>
  </si>
  <si>
    <t xml:space="preserve">P16</t>
  </si>
  <si>
    <t xml:space="preserve">Energy Performance Certificate</t>
  </si>
  <si>
    <t xml:space="preserve">Environmental Q8</t>
  </si>
  <si>
    <t xml:space="preserve">Your home has no valid Energy Performance Certificate.</t>
  </si>
  <si>
    <t xml:space="preserve">An EPC is legally required before marketing a home for sale and lasts 10 years. Buyers and lenders look at the rating.</t>
  </si>
  <si>
    <t xml:space="preserve">Now: UMU usually finds it automatically; a new one takes a few days. At sale: the agent can't market without it.</t>
  </si>
  <si>
    <t xml:space="preserve">The EPC register.</t>
  </si>
  <si>
    <t xml:space="preserve">1. UMU checks the EPC register automatically → Valid: Resolved.
2. Expired or missing: book an accredited assessor (a few days; modest fee) → Resolved.
3. Optional: look at the recommendations to improve the rating.</t>
  </si>
  <si>
    <t xml:space="preserve">None.</t>
  </si>
  <si>
    <t xml:space="preserve">Valid EPC: Resolved. Expired: Flagged until renewed.</t>
  </si>
  <si>
    <t xml:space="preserve">P17</t>
  </si>
  <si>
    <t xml:space="preserve">Green Deal loan</t>
  </si>
  <si>
    <t xml:space="preserve">Environmental Q9</t>
  </si>
  <si>
    <t xml:space="preserve">There's a Green Deal loan paid through your electricity bill.</t>
  </si>
  <si>
    <t xml:space="preserve">A Green Deal loan passes to the next bill payer, so buyers must be told formally and many lenders ask about it.</t>
  </si>
  <si>
    <t xml:space="preserve">Now: same day to a week to find the plan. At sale: often one to two weeks, and some buyers want it paid off.</t>
  </si>
  <si>
    <t xml:space="preserve">Your electricity bill; the Green Deal plan documents.</t>
  </si>
  <si>
    <t xml:space="preserve">1. Find the Green Deal charge on your electricity bill and upload the bill (5 minutes).
2. Ask the Green Deal provider for the plan and a settlement figure (1 to 2 weeks) → Upload → Flagged: ready for a conveyancer.</t>
  </si>
  <si>
    <t xml:space="preserve">Disclosure requirements and whether to settle the loan before sale.</t>
  </si>
  <si>
    <t xml:space="preserve">Flagged, ready for a conveyancer.</t>
  </si>
  <si>
    <t xml:space="preserve">P18</t>
  </si>
  <si>
    <t xml:space="preserve">Japanese knotweed</t>
  </si>
  <si>
    <t xml:space="preserve">Environmental Q10</t>
  </si>
  <si>
    <t xml:space="preserve">Japanese knotweed is on your property or nearby.</t>
  </si>
  <si>
    <t xml:space="preserve">Lenders usually require a professional management plan with an insurance-backed guarantee. Treatment takes years, so early action matters more here than almost anywhere else.</t>
  </si>
  <si>
    <t xml:space="preserve">Now: start treatment years before selling. At sale: it can stop a mortgage and cause buyers to withdraw.</t>
  </si>
  <si>
    <t xml:space="preserve">Any existing survey, treatment plan or guarantee.</t>
  </si>
  <si>
    <t xml:space="preserve">1. Photograph the plant and its location (10 minutes).
2. Get a survey from a specialist knotweed company (1 to 3 weeks; survey fee) → step 3.
3. Start a management plan with an insurance-backed guarantee, and upload both (treatment runs over several years) → Flagged (managed).
4. On a neighbour's land: record it and the distance from your boundary → Flagged.</t>
  </si>
  <si>
    <t xml:space="preserve">Disclosure wording and whether the plan satisfies the buyer's lender.</t>
  </si>
  <si>
    <t xml:space="preserve">Not present: Resolved. Managed with guarantee: Flagged (managed). No plan: Flagged, ready for a conveyancer.</t>
  </si>
  <si>
    <t xml:space="preserve">P19</t>
  </si>
  <si>
    <t xml:space="preserve">Shared driveways, access and services crossing land</t>
  </si>
  <si>
    <t xml:space="preserve">Rights and Informal Arrangements Q2–Q14</t>
  </si>
  <si>
    <t xml:space="preserve">You share a driveway, path or services with a neighbour, or rely on their land, without clear paperwork.</t>
  </si>
  <si>
    <t xml:space="preserve">Buyers need legal rights to use any access or services they rely on. Informal arrangements can end when a neighbour sells.</t>
  </si>
  <si>
    <t xml:space="preserve">Now: one to three weeks. At sale: often two to six weeks, especially if a deed or indemnity is needed.</t>
  </si>
  <si>
    <t xml:space="preserve">The title register (UMU pulls this); any written agreement with neighbours.</t>
  </si>
  <si>
    <t xml:space="preserve">1. Mark the shared or crossed area on the title plan (15 minutes).
2. Check the title register for the right (UMU highlights rights entries) → Right registered and used as described: Resolved.
3. Upload any written agreement and note how costs are shared (15 minutes) → Flagged (documented).
4. Informal only: record how long it has been used and by whom → Flagged: ready for a conveyancer.
5. Access blocked or challenged → Needs a conveyancer.</t>
  </si>
  <si>
    <t xml:space="preserve">Whether a formal deed, a registration application or indemnity is needed.</t>
  </si>
  <si>
    <t xml:space="preserve">Registered: Resolved. Written agreement: Flagged. Informal: Flagged, ready for a conveyancer. Disputed: Needs a conveyancer.</t>
  </si>
  <si>
    <t xml:space="preserve">P20</t>
  </si>
  <si>
    <t xml:space="preserve">Rights recorded on the title (light, support, mines, chancel and others)</t>
  </si>
  <si>
    <t xml:space="preserve">Rights and Informal Arrangements Q5, Q7, Q8, Q9, Q10, Q11</t>
  </si>
  <si>
    <t xml:space="preserve">Your title mentions rights such as rights of light, support, mines and minerals, or chancel repair liability.</t>
  </si>
  <si>
    <t xml:space="preserve">These rights are usually long-standing and harmless, but buyers need to understand them, and some lenders ask for chancel repair insurance.</t>
  </si>
  <si>
    <t xml:space="preserve">Now: same day. At sale: usually a few days, sometimes an indemnity policy request.</t>
  </si>
  <si>
    <t xml:space="preserve">The title register (UMU pulls this); your purchase paperwork.</t>
  </si>
  <si>
    <t xml:space="preserve">1. UMU highlights these entries on your title register → review the plain-English explanation.
2. Upload any related document or notice (10 minutes) → Flagged (disclosed).
3. Chancel repair or mining: note any policy from your purchase → Flagged: ready for a conveyancer.</t>
  </si>
  <si>
    <t xml:space="preserve">Whether an indemnity policy or mining search is needed.</t>
  </si>
  <si>
    <t xml:space="preserve">No entries: Resolved. Entries explained: Flagged. Chancel or mining: Flagged, ready for a conveyancer.</t>
  </si>
  <si>
    <t xml:space="preserve">P21</t>
  </si>
  <si>
    <t xml:space="preserve">Parking, permits and charging</t>
  </si>
  <si>
    <t xml:space="preserve">Parking Q1, Q2</t>
  </si>
  <si>
    <t xml:space="preserve">Parking arrangements need recording, such as a permit zone, a separate garage title, or EV charging.</t>
  </si>
  <si>
    <t xml:space="preserve">Buyers want to know what parking comes with the home and what it costs.</t>
  </si>
  <si>
    <t xml:space="preserve">Now: same day. At sale: a few days.</t>
  </si>
  <si>
    <t xml:space="preserve">The council's parking zone map; any garage title or lease.</t>
  </si>
  <si>
    <t xml:space="preserve">1. Describe parking and upload photos (5 minutes).
2. Permit zone: record the zone and annual cost (5 minutes) → Resolved.
3. Garage or space on a separate title or lease: upload it; it must be included in the sale → Flagged.</t>
  </si>
  <si>
    <t xml:space="preserve">Only where parking is on separate land with no clear title.</t>
  </si>
  <si>
    <t xml:space="preserve">Resolved, or Flagged for a separate title.</t>
  </si>
  <si>
    <t xml:space="preserve">P22</t>
  </si>
  <si>
    <t xml:space="preserve">Estate charges and other payments</t>
  </si>
  <si>
    <t xml:space="preserve">Other Charges Q2</t>
  </si>
  <si>
    <t xml:space="preserve">You pay an estate management charge, rentcharge or other regular fee for your home.</t>
  </si>
  <si>
    <t xml:space="preserve">Buyers inherit these charges. Arrears or unclear charges can delay a sale, and some rentcharges give the owner strong enforcement rights.</t>
  </si>
  <si>
    <t xml:space="preserve">Now: one to two weeks to gather statements. At sale: often two to four weeks waiting for the management company.</t>
  </si>
  <si>
    <t xml:space="preserve">Invoices; the management company's details; your purchase paperwork.</t>
  </si>
  <si>
    <t xml:space="preserve">1. Upload the latest invoice and the management company's contact details (10 minutes).
2. Ask the management company for three years of statements and confirmation of no arrears (1 to 3 weeks) → Flagged (documented).
3. Arrears, disputes, or a rentcharge → Needs a conveyancer.</t>
  </si>
  <si>
    <t xml:space="preserve">Rentcharges and disputed charges.</t>
  </si>
  <si>
    <t xml:space="preserve">Documented: Flagged. Rentcharge or arrears: Needs a conveyancer.</t>
  </si>
  <si>
    <t xml:space="preserve">P23</t>
  </si>
  <si>
    <t xml:space="preserve">Other people living in the home</t>
  </si>
  <si>
    <t xml:space="preserve">Occupiers Q2, Q3, Q4, Q5, Q6, Q7</t>
  </si>
  <si>
    <t xml:space="preserve">Someone other than the sellers lives at the property, such as an adult family member, lodger or tenant.</t>
  </si>
  <si>
    <t xml:space="preserve">Buyers need the property empty on completion. Other adults usually sign to confirm they'll leave; tenants need proper notice.</t>
  </si>
  <si>
    <t xml:space="preserve">Now: same day for adult occupiers; notice periods for tenants run for weeks or months. At sale: can delay completion.</t>
  </si>
  <si>
    <t xml:space="preserve">Tenancy agreements; deposit protection certificates.</t>
  </si>
  <si>
    <t xml:space="preserve">1. Record the names of everyone aged 17 or over living there (5 minutes).
2. Adult occupiers: confirm they'll leave and sign the contract → Flagged (recorded).
3. Tenants or lodgers: upload the tenancy and deposit certificate → Needs a conveyancer.</t>
  </si>
  <si>
    <t xml:space="preserve">Serving notice on tenants and securing vacant possession.</t>
  </si>
  <si>
    <t xml:space="preserve">Sellers only: Resolved. Adult occupiers: Flagged. Tenants: Needs a conveyancer.</t>
  </si>
  <si>
    <t xml:space="preserve">P24</t>
  </si>
  <si>
    <t xml:space="preserve">Private drainage: septic tank, treatment plant or cesspool</t>
  </si>
  <si>
    <t xml:space="preserve">Services Q9–Q18</t>
  </si>
  <si>
    <t xml:space="preserve">Your home isn't on mains drainage.</t>
  </si>
  <si>
    <t xml:space="preserve">Buyers and lenders check private drainage systems. In England, septic tanks that discharge straight into a ditch, stream or river must meet the General Binding Rules, which often means replacing them.</t>
  </si>
  <si>
    <t xml:space="preserve">Now: one to four weeks, longer if the system needs upgrading. At sale: often several weeks, and upgrade costs become a negotiation.</t>
  </si>
  <si>
    <t xml:space="preserve">Emptying and service invoices; installation paperwork; any permit.</t>
  </si>
  <si>
    <t xml:space="preserve">1. Record the system type and where it is, marking it on a plan (15 minutes).
2. Upload emptying and service records (15 minutes); book a service if overdue.
3. Record where it discharges: ground (drainage field) or watercourse (10 minutes) → Ground: Flagged (documented). Watercourse: Flagged, ready for a conveyancer.
4. Shared with neighbours or on their land: upload any agreement → Needs a conveyancer.</t>
  </si>
  <si>
    <t xml:space="preserve">Compliance with the General Binding Rules and rights over neighbouring land.</t>
  </si>
  <si>
    <t xml:space="preserve">Documented, discharges to ground: Flagged. Watercourse: Flagged, ready for a conveyancer. Shared or on other land: Needs a conveyancer.</t>
  </si>
  <si>
    <t xml:space="preserve">Wales has different rules; check with Natural Resources Wales wording.</t>
  </si>
  <si>
    <t xml:space="preserve">P25</t>
  </si>
  <si>
    <t xml:space="preserve">Utilities and connections</t>
  </si>
  <si>
    <t xml:space="preserve">Services Q19, Q20, Q21, Q22, Q23, Q24</t>
  </si>
  <si>
    <t xml:space="preserve">Your utility and connection details need recording.</t>
  </si>
  <si>
    <t xml:space="preserve">Buyers need to know how the home is supplied, and agents must provide this as material information.</t>
  </si>
  <si>
    <t xml:space="preserve">Now: 15 minutes. At sale: a few days of back and forth.</t>
  </si>
  <si>
    <t xml:space="preserve">Recent bills.</t>
  </si>
  <si>
    <t xml:space="preserve">1. Record each supplier and meter location, and upload a recent bill for each (15 minutes) → Resolved.
2. No mains supply of any kind: record the alternative → Flagged (disclosed).
3. Private water supply: upload test results and any sharing agreement → Needs a conveyancer.</t>
  </si>
  <si>
    <t xml:space="preserve">Private water supplies only.</t>
  </si>
  <si>
    <t xml:space="preserve">Resolved; Flagged for non-mains supplies.</t>
  </si>
  <si>
    <t xml:space="preserve">P26</t>
  </si>
  <si>
    <t xml:space="preserve">Chain, mortgage and moving</t>
  </si>
  <si>
    <t xml:space="preserve">Transaction Information Q1–Q7</t>
  </si>
  <si>
    <t xml:space="preserve">Details about your sale that affect timing: a dependent purchase, your mortgage, and moving plans.</t>
  </si>
  <si>
    <t xml:space="preserve">Buyers and their conveyancers plan around the chain and need confidence that your mortgage will be repaid on completion.</t>
  </si>
  <si>
    <t xml:space="preserve">Now: 10 minutes. At sale: repeated questions throughout.</t>
  </si>
  <si>
    <t xml:space="preserve">Your mortgage statement.</t>
  </si>
  <si>
    <t xml:space="preserve">1. Record whether your sale depends on a purchase and any date restrictions (5 minutes).
2. Record your lender and approximate balance (never the account number) (5 minutes) → Proceeds cover the mortgage: Resolved.
3. Proceeds may not cover the mortgage → Needs a conveyancer.</t>
  </si>
  <si>
    <t xml:space="preserve">Shortfalls, which need lender agreement.</t>
  </si>
  <si>
    <t xml:space="preserve">Resolved. Shortfall: Needs a conveyancer.</t>
  </si>
  <si>
    <t xml:space="preserve">P27</t>
  </si>
  <si>
    <t xml:space="preserve">Fixtures and fittings</t>
  </si>
  <si>
    <t xml:space="preserve">Fixtures and Fittings Q2–Q100</t>
  </si>
  <si>
    <t xml:space="preserve">What stays and what goes needs recording, room by room.</t>
  </si>
  <si>
    <t xml:space="preserve">Disagreements about what's included are a frequent last-minute argument. Items sold separately can affect stamp duty.</t>
  </si>
  <si>
    <t xml:space="preserve">Now: 20 to 40 minutes. At sale: repeated questions and disputes on moving day.</t>
  </si>
  <si>
    <t xml:space="preserve">None needed.</t>
  </si>
  <si>
    <t xml:space="preserve">1. Mark each item included, excluded or none, room by room (20 to 40 minutes).
2. Photograph any items for sale at an extra price and record the price → Flagged.
3. Removing fixtures: note that any damage must be made good → Flagged.</t>
  </si>
  <si>
    <t xml:space="preserve">Complete: Resolved. Items for sale or removed: Flagged.</t>
  </si>
  <si>
    <t xml:space="preserve">P28</t>
  </si>
  <si>
    <t xml:space="preserve">Who can sell: owners, probate, attorneys and companies</t>
  </si>
  <si>
    <t xml:space="preserve">Ownership Profile Q2, Q3, Q4</t>
  </si>
  <si>
    <t xml:space="preserve">The people selling aren't exactly the registered owners, for example an owner has died, an attorney is selling, or a company owns the home.</t>
  </si>
  <si>
    <t xml:space="preserve">Only the registered owners, or someone with legal authority, can sell. Buyers' conveyancers check this first.</t>
  </si>
  <si>
    <t xml:space="preserve">Now: same day if documents exist; probate can take months. At sale: can stop a sale until authority is shown.</t>
  </si>
  <si>
    <t xml:space="preserve">The title register (UMU pulls this); grant of probate; lasting power of attorney; company documents.</t>
  </si>
  <si>
    <t xml:space="preserve">1. UMU compares the owner names with the title register → Match: Resolved.
2. Mismatch: upload the grant of probate, lasting power of attorney, death certificate or company details (15 minutes).
3. Probate not yet granted → Needs a conveyancer.</t>
  </si>
  <si>
    <t xml:space="preserve">Authority to sell and any probate or attorney issues.</t>
  </si>
  <si>
    <t xml:space="preserve">Match: Resolved. Documents uploaded: Flagged. Authority missing: Needs a conveyancer.</t>
  </si>
  <si>
    <t xml:space="preserve">P29</t>
  </si>
  <si>
    <t xml:space="preserve">Shared ownership</t>
  </si>
  <si>
    <t xml:space="preserve">Ownership Profile Q9</t>
  </si>
  <si>
    <t xml:space="preserve">Your home is shared ownership.</t>
  </si>
  <si>
    <t xml:space="preserve">The housing association usually has the right to find a buyer first (a nomination period), and must approve the sale.</t>
  </si>
  <si>
    <t xml:space="preserve">Now: one to two weeks to gather figures and the association's resale process. At sale: the nomination period can add weeks.</t>
  </si>
  <si>
    <t xml:space="preserve">Your shared ownership lease; housing association statements.</t>
  </si>
  <si>
    <t xml:space="preserve">1. Record your share and rent, and upload a recent statement (10 minutes).
2. Ask the housing association for its resale process and nomination period (1 to 2 weeks) → Flagged: ready for a conveyancer.</t>
  </si>
  <si>
    <t xml:space="preserve">Staircasing and the association's consent to sell.</t>
  </si>
  <si>
    <t xml:space="preserve">P30</t>
  </si>
  <si>
    <t xml:space="preserve">Short lease or high ground rent</t>
  </si>
  <si>
    <t xml:space="preserve">Ownership Profile Q10; Leasehold Q3, Q4</t>
  </si>
  <si>
    <t xml:space="preserve">Your lease is getting short, or your ground rent is high or rises over time.</t>
  </si>
  <si>
    <t xml:space="preserve">Leases under about 80 years become expensive to extend and many lenders won't lend on them. Ground rents that double or rise steeply can also put lenders off.</t>
  </si>
  <si>
    <t xml:space="preserve">Now: extending a lease can take months, so starting early matters. At sale: can stop a buyer getting a mortgage.</t>
  </si>
  <si>
    <t xml:space="preserve">Your lease; ground rent demands.</t>
  </si>
  <si>
    <t xml:space="preserve">1. Record the lease start date and length; UMU calculates the years remaining (10 minutes) → 90 years or more: Resolved.
2. Upload recent ground rent demands and the review clause (15 minutes) → Fixed or low: Resolved.
3. Under 90 years, or doubling or steep ground rent → Flagged: ready for a conveyancer.</t>
  </si>
  <si>
    <t xml:space="preserve">Whether and how to extend the lease or vary the ground rent. Leasehold reform is changing the rules, so this needs current advice.</t>
  </si>
  <si>
    <t xml:space="preserve">Resolved; or Flagged, ready for a conveyancer.</t>
  </si>
  <si>
    <t xml:space="preserve">P31</t>
  </si>
  <si>
    <t xml:space="preserve">Leasehold management information</t>
  </si>
  <si>
    <t xml:space="preserve">Ownership Profile Q11; Leasehold Q8–Q34</t>
  </si>
  <si>
    <t xml:space="preserve">Your flat's management information isn't in one place: service charges, insurance, accounts and contacts.</t>
  </si>
  <si>
    <t xml:space="preserve">The buyer's conveyancer needs a full management pack from the managing agent. Waiting for it is one of the biggest causes of leasehold delay.</t>
  </si>
  <si>
    <t xml:space="preserve">Now: two to six weeks, with no chain waiting. At sale: often four to eight weeks, and agents charge for the pack.</t>
  </si>
  <si>
    <t xml:space="preserve">Your lease (UMU can often download it from HM Land Registry); service charge and ground rent demands; emails from the managing agent.</t>
  </si>
  <si>
    <t xml:space="preserve">1. Add the landlord, managing agent and residents' company contacts (10 minutes).
2. Upload the lease and any later changes (10 minutes).
3. Upload three years of service charge and ground rent statements and receipts (30 minutes).
4. Ask the managing agent for the building insurance schedule, company accounts, budget, and any planned works (1 to 4 weeks) → All uploaded: Resolved.
5. Anything the agent won't provide → Flagged.</t>
  </si>
  <si>
    <t xml:space="preserve">None, unless documents can't be obtained.</t>
  </si>
  <si>
    <t xml:space="preserve">Complete: Resolved. Missing items: Flagged.</t>
  </si>
  <si>
    <t xml:space="preserve">P32</t>
  </si>
  <si>
    <t xml:space="preserve">Freehold, head lease and management company structure</t>
  </si>
  <si>
    <t xml:space="preserve">Ownership Profile Q12; Leasehold Q5, Q6, Q7, Q9</t>
  </si>
  <si>
    <t xml:space="preserve">It's unclear who owns your building's freehold, whether there is a head lease, or the residents' company's status.</t>
  </si>
  <si>
    <t xml:space="preserve">Buyers need to know who they'll deal with. A dissolved residents' company must usually be restored before a sale can complete.</t>
  </si>
  <si>
    <t xml:space="preserve">Now: same day to check; restoring a company takes weeks. At sale: can hold up completion.</t>
  </si>
  <si>
    <t xml:space="preserve">The freehold title (UMU pulls this); Companies House.</t>
  </si>
  <si>
    <t xml:space="preserve">1. UMU pulls the freehold title to show the owner → Resolved.
2. Search the residents' company on Companies House (5 minutes, free) → Active: Resolved. Dissolved: Needs a conveyancer.
3. Commonhold: upload the community statement (UMU can often download it) → Resolved.</t>
  </si>
  <si>
    <t xml:space="preserve">Restoring a dissolved company.</t>
  </si>
  <si>
    <t xml:space="preserve">Resolved; Dissolved company: Needs a conveyancer.</t>
  </si>
  <si>
    <t xml:space="preserve">P33</t>
  </si>
  <si>
    <t xml:space="preserve">Service charge problems, major works and arrears</t>
  </si>
  <si>
    <t xml:space="preserve">Leasehold Q28, Q29, Q30, Q31, Q32, Q33</t>
  </si>
  <si>
    <t xml:space="preserve">There are service charge disputes, arrears, or major works coming.</t>
  </si>
  <si>
    <t xml:space="preserve">Buyers worry about inheriting big bills. Major works often lead to money being held back from the sale price.</t>
  </si>
  <si>
    <t xml:space="preserve">Now: one to two weeks to gather notices. At sale: often two to six weeks of questions, and retentions from the sale money.</t>
  </si>
  <si>
    <t xml:space="preserve">Section 20 consultation notices; budgets; statements.</t>
  </si>
  <si>
    <t xml:space="preserve">1. Upload any major works notices and estimates (15 minutes) → Flagged (disclosed).
2. Record any disputes and their outcome, with correspondence (20 minutes) → Settled: Flagged.
3. Arrears owed by you → Needs a conveyancer (they must be settled or apportioned).
4. Cladding or fire safety concerns → see the building safety pathway.</t>
  </si>
  <si>
    <t xml:space="preserve">Retentions, arrears and disputes.</t>
  </si>
  <si>
    <t xml:space="preserve">Flagged; arrears or live disputes: Needs a conveyancer.</t>
  </si>
  <si>
    <t xml:space="preserve">P34</t>
  </si>
  <si>
    <t xml:space="preserve">Leasehold notices, consents and alterations</t>
  </si>
  <si>
    <t xml:space="preserve">Leasehold Q35–Q41</t>
  </si>
  <si>
    <t xml:space="preserve">You've received notices from the landlord, made changes to the flat, or had complaints under the lease.</t>
  </si>
  <si>
    <t xml:space="preserve">Leases usually need the landlord's consent for alterations. Unconsented works and live complaints delay sales.</t>
  </si>
  <si>
    <t xml:space="preserve">Now: one to four weeks to find consents. At sale: two to six weeks, sometimes retrospective consent fees.</t>
  </si>
  <si>
    <t xml:space="preserve">Licences for alterations; notices; correspondence.</t>
  </si>
  <si>
    <t xml:space="preserve">1. Upload any notices received (10 minutes) → Flagged (disclosed).
2. List alterations since the lease was granted (10 minutes).
3. Upload the landlord's consent (licence for alterations) for each (15 minutes) → All consented: Resolved. Missing: ask the landlord for a copy (1 to 3 weeks) → Found: Resolved.
4. No consent, or landlord selling the building → Needs a conveyancer.</t>
  </si>
  <si>
    <t xml:space="preserve">Retrospective consent and right of first refusal.</t>
  </si>
  <si>
    <t xml:space="preserve">Resolved; Flagged; or Needs a conveyancer.</t>
  </si>
  <si>
    <t xml:space="preserve">P35</t>
  </si>
  <si>
    <t xml:space="preserve">Lease extension or buying the freehold</t>
  </si>
  <si>
    <t xml:space="preserve">Leasehold Q42, Q43, Q44, Q45</t>
  </si>
  <si>
    <t xml:space="preserve">You've started, or received notice about, extending the lease or buying the freehold.</t>
  </si>
  <si>
    <t xml:space="preserve">A formal claim can often be passed to the buyer, which is valuable, but only if handled correctly.</t>
  </si>
  <si>
    <t xml:space="preserve">Now: statutory claims take months. At sale: timing and assignment must be coordinated.</t>
  </si>
  <si>
    <t xml:space="preserve">Notices served and received.</t>
  </si>
  <si>
    <t xml:space="preserve">1. Upload all notices served or received (10 minutes) → Flagged: ready for a conveyancer.</t>
  </si>
  <si>
    <t xml:space="preserve">Always a conveyancer matter.</t>
  </si>
  <si>
    <t xml:space="preserve">Needs a conveyancer.</t>
  </si>
  <si>
    <t xml:space="preserve">P36</t>
  </si>
  <si>
    <t xml:space="preserve">Building safety and cladding</t>
  </si>
  <si>
    <t xml:space="preserve">Leasehold Q31–Q52</t>
  </si>
  <si>
    <t xml:space="preserve">Your building may have cladding or fire safety issues, or the building safety paperwork isn't complete.</t>
  </si>
  <si>
    <t xml:space="preserve">Under the Building Safety Act 2022, leaseholders in many taller buildings are protected from some remediation costs, but only with the right certificates. Lenders often ask for an EWS1 form.</t>
  </si>
  <si>
    <t xml:space="preserve">Now: weeks to months to get the landlord's certificate and deed. At sale: one of the most serious causes of delay for flats.</t>
  </si>
  <si>
    <t xml:space="preserve">EWS1 form; fire risk assessment; leaseholder deed of certificate; landlord's certificate.</t>
  </si>
  <si>
    <t xml:space="preserve">1. Record the building's height or storeys (5 minutes).
2. Upload any EWS1 form, fire risk assessment and remediation notices (15 minutes).
3. Complete or upload the leaseholder deed of certificate (conveyancer can help) → Uploaded: step 4.
4. Tell the landlord you plan to sell and request the landlord's certificate (landlord has a set period to respond) → Received: upload → Flagged (documented).
5. Known or suspected cladding or safety defects → Needs a conveyancer.</t>
  </si>
  <si>
    <t xml:space="preserve">Qualifying lease status, remediation costs and lender acceptance.</t>
  </si>
  <si>
    <t xml:space="preserve">Documented: Flagged. Defects or missing certificates: Needs a conveyancer.</t>
  </si>
  <si>
    <t xml:space="preserve">P37</t>
  </si>
  <si>
    <t xml:space="preserve">Title register and plan</t>
  </si>
  <si>
    <t xml:space="preserve">Title Register and Plan Q1, Q2</t>
  </si>
  <si>
    <t xml:space="preserve">Your title register and plan need to be in your passport.</t>
  </si>
  <si>
    <t xml:space="preserve">Every sale starts with them. Having them early lets you spot issues such as restrictions or covenants.</t>
  </si>
  <si>
    <t xml:space="preserve">Now: UMU downloads them automatically in minutes. At sale: they're ordered anyway, but issues found late cause delay.</t>
  </si>
  <si>
    <t xml:space="preserve">Nothing; UMU downloads from HM Land Registry.</t>
  </si>
  <si>
    <t xml:space="preserve">1. UMU downloads the title register and plan → Registered: Resolved; UMU runs automatic title checks.
2. Unregistered land: upload your deeds → Flagged: ready for a conveyancer.</t>
  </si>
  <si>
    <t xml:space="preserve">Unregistered land and any issues found in the title checks.</t>
  </si>
  <si>
    <t xml:space="preserve">Resolved; unregistered: Flagged, ready for a conveyancer.</t>
  </si>
  <si>
    <t xml:space="preserve">P38</t>
  </si>
  <si>
    <t xml:space="preserve">Searches</t>
  </si>
  <si>
    <t xml:space="preserve">Searches Q2, Q3, Q5, Q6</t>
  </si>
  <si>
    <t xml:space="preserve">Local authority, drainage, environmental and mining search results.</t>
  </si>
  <si>
    <t xml:space="preserve">The buyer's conveyancer normally orders searches, but knowing the results early means no surprises.</t>
  </si>
  <si>
    <t xml:space="preserve">Now: optional, results in days to weeks. At sale: searches can take several weeks in some council areas.</t>
  </si>
  <si>
    <t xml:space="preserve">Any searches from your own purchase (useful background, though too old to rely on).</t>
  </si>
  <si>
    <t xml:space="preserve">1. Upload any searches you already have (5 minutes).
2. UMU surfaces any adverse entries in plain English → None: Resolved. Adverse: Flagged: ready for a conveyancer.</t>
  </si>
  <si>
    <t xml:space="preserve">Interpreting adverse entries. Buyers' lenders usually require fresh searches.</t>
  </si>
  <si>
    <t xml:space="preserve">Resolved; adverse entries: Flagged, ready for a conveyancer.</t>
  </si>
  <si>
    <t xml:space="preserve">Timings and costs are typical guidance ranges for homeowners and must be validated by a licensed conveyancer before launch. UMU provides information, not legal advice. Step 6 is always the conveyancer's or lender's decision.</t>
  </si>
  <si>
    <t xml:space="preserve">Pathway name</t>
  </si>
  <si>
    <t xml:space="preserve">Time now</t>
  </si>
  <si>
    <t xml:space="preserve">Time at sale</t>
  </si>
  <si>
    <t xml:space="preserve">Step ID</t>
  </si>
  <si>
    <t xml:space="preserve">Step type</t>
  </si>
  <si>
    <t xml:space="preserve">Step title</t>
  </si>
  <si>
    <t xml:space="preserve">What the homeowner sees</t>
  </si>
  <si>
    <t xml:space="preserve">Time</t>
  </si>
  <si>
    <t xml:space="preserve">Cost</t>
  </si>
  <si>
    <t xml:space="preserve">Warning</t>
  </si>
  <si>
    <t xml:space="preserve">Answer 1</t>
  </si>
  <si>
    <t xml:space="preserve">Goes to</t>
  </si>
  <si>
    <t xml:space="preserve">Answer 2</t>
  </si>
  <si>
    <t xml:space="preserve">Answer 3</t>
  </si>
  <si>
    <t xml:space="preserve">Answer 4</t>
  </si>
  <si>
    <t xml:space="preserve">Same day to two weeks</t>
  </si>
  <si>
    <t xml:space="preserve">Typically adds one to three weeks</t>
  </si>
  <si>
    <t xml:space="preserve">pack</t>
  </si>
  <si>
    <t xml:space="preserve">action</t>
  </si>
  <si>
    <t xml:space="preserve">Check your purchase paperwork</t>
  </si>
  <si>
    <t xml:space="preserve">You may already have the certificate from when you bought: look in the seller's property information form, your solicitor's report on title, or your completion pack.</t>
  </si>
  <si>
    <t xml:space="preserve">15 minutes</t>
  </si>
  <si>
    <t xml:space="preserve">Free</t>
  </si>
  <si>
    <t xml:space="preserve">Found it (upload)</t>
  </si>
  <si>
    <t xml:space="preserve">Not there</t>
  </si>
  <si>
    <t xml:space="preserve">fensa</t>
  </si>
  <si>
    <t xml:space="preserve">Search the FENSA register</t>
  </si>
  <si>
    <t xml:space="preserve">Search your address on FENSA's certificate service.</t>
  </si>
  <si>
    <t xml:space="preserve">5 minutes</t>
  </si>
  <si>
    <t xml:space="preserve">Free to search</t>
  </si>
  <si>
    <t xml:space="preserve">Found a record</t>
  </si>
  <si>
    <t xml:space="preserve">fensa_order</t>
  </si>
  <si>
    <t xml:space="preserve">No record</t>
  </si>
  <si>
    <t xml:space="preserve">scheme</t>
  </si>
  <si>
    <t xml:space="preserve">Order a replacement certificate</t>
  </si>
  <si>
    <t xml:space="preserve">Order a copy from FENSA. It usually arrives within about a week.</t>
  </si>
  <si>
    <t xml:space="preserve">About a week</t>
  </si>
  <si>
    <t xml:space="preserve">£30</t>
  </si>
  <si>
    <t xml:space="preserve">Certificate received (upload)</t>
  </si>
  <si>
    <t xml:space="preserve">Check other schemes</t>
  </si>
  <si>
    <t xml:space="preserve">Look at your invoice or the installer's paperwork for another scheme's logo, such as CERTASS, and search that scheme's register.</t>
  </si>
  <si>
    <t xml:space="preserve">Free to search; small fee for a copy</t>
  </si>
  <si>
    <t xml:space="preserve">Found a record (upload)</t>
  </si>
  <si>
    <t xml:space="preserve">No record or no paperwork</t>
  </si>
  <si>
    <t xml:space="preserve">installer</t>
  </si>
  <si>
    <t xml:space="preserve">Contact your installer</t>
  </si>
  <si>
    <t xml:space="preserve">If the company is still trading, ask whether they registered the job. If they belong to a scheme, ask them to register it now.</t>
  </si>
  <si>
    <t xml:space="preserve">1 to 4 weeks</t>
  </si>
  <si>
    <t xml:space="preserve">Usually free</t>
  </si>
  <si>
    <t xml:space="preserve">They've registered it (upload)</t>
  </si>
  <si>
    <t xml:space="preserve">Company gone or not registered</t>
  </si>
  <si>
    <t xml:space="preserve">evidence</t>
  </si>
  <si>
    <t xml:space="preserve">upload</t>
  </si>
  <si>
    <t xml:space="preserve">Gather your evidence</t>
  </si>
  <si>
    <t xml:space="preserve">Add the installation date, which windows or doors, the invoice, the installer's name, and photos including the small safety-glass marks in the corners.</t>
  </si>
  <si>
    <t xml:space="preserve">30 minutes</t>
  </si>
  <si>
    <t xml:space="preserve">Don't contact the council about this until you've spoken to a conveyancer. Once the council has been approached, insurers usually refuse indemnity cover.</t>
  </si>
  <si>
    <t xml:space="preserve">Evidence added (upload)</t>
  </si>
  <si>
    <t xml:space="preserve">For a conveyancer</t>
  </si>
  <si>
    <t xml:space="preserve">A day to a few weeks</t>
  </si>
  <si>
    <t xml:space="preserve">Often two to six weeks; a common reason for renegotiation</t>
  </si>
  <si>
    <t xml:space="preserve">list</t>
  </si>
  <si>
    <t xml:space="preserve">form</t>
  </si>
  <si>
    <t xml:space="preserve">List the work</t>
  </si>
  <si>
    <t xml:space="preserve">Tell us each piece of work: what was done, when, and who did it.</t>
  </si>
  <si>
    <t xml:space="preserve">Done</t>
  </si>
  <si>
    <t xml:space="preserve">You may already have the completion certificate from when you bought: look in the seller's property information form, your solicitor's report on title, or your completion pack.</t>
  </si>
  <si>
    <t xml:space="preserve">council_online</t>
  </si>
  <si>
    <t xml:space="preserve">Check the council's online records</t>
  </si>
  <si>
    <t xml:space="preserve">Many councils show planning and building control records online. Search your address and look for a completion certificate.</t>
  </si>
  <si>
    <t xml:space="preserve">Not online</t>
  </si>
  <si>
    <t xml:space="preserve">builder</t>
  </si>
  <si>
    <t xml:space="preserve">Ask your builder or architect</t>
  </si>
  <si>
    <t xml:space="preserve">Ask for the completion certificate, or the name of the building control body they used (council or a private approved inspector).</t>
  </si>
  <si>
    <t xml:space="preserve">1 to 3 weeks</t>
  </si>
  <si>
    <t xml:space="preserve">Got the certificate (upload)</t>
  </si>
  <si>
    <t xml:space="preserve">They used a private inspector</t>
  </si>
  <si>
    <t xml:space="preserve">inspector</t>
  </si>
  <si>
    <t xml:space="preserve">No answer or no certificate</t>
  </si>
  <si>
    <t xml:space="preserve">Ask the approved inspector</t>
  </si>
  <si>
    <t xml:space="preserve">Ask the private building control company for a copy of the final certificate.</t>
  </si>
  <si>
    <t xml:space="preserve">Small fee possible</t>
  </si>
  <si>
    <t xml:space="preserve">No certificate</t>
  </si>
  <si>
    <t xml:space="preserve">Add plans, invoices, photos, any structural engineer calculations and any inspection letters. If the work is unfinished, say what remains and when it will be done.</t>
  </si>
  <si>
    <t xml:space="preserve">The council has raised a problem (upload)</t>
  </si>
  <si>
    <t xml:space="preserve">Needs a conveyancer</t>
  </si>
  <si>
    <t xml:space="preserve">Same day to a week</t>
  </si>
  <si>
    <t xml:space="preserve">One to four weeks</t>
  </si>
  <si>
    <t xml:space="preserve">portal</t>
  </si>
  <si>
    <t xml:space="preserve">Search the council's planning register</t>
  </si>
  <si>
    <t xml:space="preserve">Search your address and look for decision notices for the work.</t>
  </si>
  <si>
    <t xml:space="preserve">10 minutes</t>
  </si>
  <si>
    <t xml:space="preserve">Found permission</t>
  </si>
  <si>
    <t xml:space="preserve">conditions</t>
  </si>
  <si>
    <t xml:space="preserve">Nothing found</t>
  </si>
  <si>
    <t xml:space="preserve">Check the conditions</t>
  </si>
  <si>
    <t xml:space="preserve">Read each condition on the decision notice (for example obscure glazing or matching materials) and confirm it was met. Add photos.</t>
  </si>
  <si>
    <t xml:space="preserve">20 minutes</t>
  </si>
  <si>
    <t xml:space="preserve">All met (upload)</t>
  </si>
  <si>
    <t xml:space="preserve">Not sure, or one was not met (upload)</t>
  </si>
  <si>
    <t xml:space="preserve">Record the work</t>
  </si>
  <si>
    <t xml:space="preserve">Add what was built, its size, when it was finished, and photos. It may have been allowed without an application (permitted development), which a conveyancer can confirm.</t>
  </si>
  <si>
    <t xml:space="preserve">Can add weeks; unconsented listed building work can stop a sale</t>
  </si>
  <si>
    <t xml:space="preserve">designation</t>
  </si>
  <si>
    <t xml:space="preserve">Confirm the designation</t>
  </si>
  <si>
    <t xml:space="preserve">Search the Historic England list and your council's conservation area and tree preservation order maps.</t>
  </si>
  <si>
    <t xml:space="preserve">Not designated</t>
  </si>
  <si>
    <t xml:space="preserve">Designated</t>
  </si>
  <si>
    <t xml:space="preserve">works</t>
  </si>
  <si>
    <t xml:space="preserve">question</t>
  </si>
  <si>
    <t xml:space="preserve">Any work since designation?</t>
  </si>
  <si>
    <t xml:space="preserve">Think about windows, doors, roofs, extensions, internal changes (listed buildings) and tree work.</t>
  </si>
  <si>
    <t xml:space="preserve">No work</t>
  </si>
  <si>
    <t xml:space="preserve">Some work</t>
  </si>
  <si>
    <t xml:space="preserve">consents</t>
  </si>
  <si>
    <t xml:space="preserve">Find the consents</t>
  </si>
  <si>
    <t xml:space="preserve">Search the council's planning register for listed building consent, conservation area consent or tree works consent.</t>
  </si>
  <si>
    <t xml:space="preserve">Found for all work (upload)</t>
  </si>
  <si>
    <t xml:space="preserve">Missing for some work</t>
  </si>
  <si>
    <t xml:space="preserve">Add dates, photos, invoices and the contractor's details for the work without consent.</t>
  </si>
  <si>
    <t xml:space="preserve">Don't contact the council about this work before taking advice. For listed buildings, unauthorised work is a criminal offence with no time limit.</t>
  </si>
  <si>
    <t xml:space="preserve">Listed building work (upload)</t>
  </si>
  <si>
    <t xml:space="preserve">Conservation area or tree work (upload)</t>
  </si>
  <si>
    <t xml:space="preserve">Owned: same day. Leased: one to eight weeks</t>
  </si>
  <si>
    <t xml:space="preserve">Leased panels are a common cause of delay; some lenders refuse</t>
  </si>
  <si>
    <t xml:space="preserve">type</t>
  </si>
  <si>
    <t xml:space="preserve">Do you own the panels?</t>
  </si>
  <si>
    <t xml:space="preserve">Panels on a "free" scheme are usually under a lease: a company rents your roof space.</t>
  </si>
  <si>
    <t xml:space="preserve">2 minutes</t>
  </si>
  <si>
    <t xml:space="preserve">Owned outright</t>
  </si>
  <si>
    <t xml:space="preserve">owned</t>
  </si>
  <si>
    <t xml:space="preserve">Under a lease or not sure</t>
  </si>
  <si>
    <t xml:space="preserve">leased</t>
  </si>
  <si>
    <t xml:space="preserve">Add the paperwork</t>
  </si>
  <si>
    <t xml:space="preserve">Upload the MCS certificate, invoice, guarantee and feed-in or export tariff paperwork.</t>
  </si>
  <si>
    <t xml:space="preserve">Added (upload)</t>
  </si>
  <si>
    <t xml:space="preserve">Add the lease and provider details</t>
  </si>
  <si>
    <t xml:space="preserve">Upload the roof lease and the provider's contact details, and check whether the provider is still trading.</t>
  </si>
  <si>
    <t xml:space="preserve">A day to three weeks</t>
  </si>
  <si>
    <t xml:space="preserve">One to two weeks; missing damp or subsidence paperwork can trigger surveys</t>
  </si>
  <si>
    <t xml:space="preserve">You may already have the guarantee from when you bought: look in the seller's property information form, your solicitor's report on title, or your completion pack.</t>
  </si>
  <si>
    <t xml:space="preserve">contractor</t>
  </si>
  <si>
    <t xml:space="preserve">Contact the contractor or guarantee body</t>
  </si>
  <si>
    <t xml:space="preserve">Ask for a copy of the guarantee, and whether it transfers to a new owner.</t>
  </si>
  <si>
    <t xml:space="preserve">Got a copy (upload)</t>
  </si>
  <si>
    <t xml:space="preserve">No response or company gone</t>
  </si>
  <si>
    <t xml:space="preserve">newbuild</t>
  </si>
  <si>
    <t xml:space="preserve">Built in the last 10 years?</t>
  </si>
  <si>
    <t xml:space="preserve">New homes usually have a warranty from a provider such as NHBC, Premier or LABC Warranty, who can send a copy.</t>
  </si>
  <si>
    <t xml:space="preserve">Yes, got a copy from the provider (upload)</t>
  </si>
  <si>
    <t xml:space="preserve">Not a new home, or no copy</t>
  </si>
  <si>
    <t xml:space="preserve">Add what you have</t>
  </si>
  <si>
    <t xml:space="preserve">Upload invoices and photos of the work. Tell us about any claim made under the guarantee.</t>
  </si>
  <si>
    <t xml:space="preserve">No claims, evidence added (upload)</t>
  </si>
  <si>
    <t xml:space="preserve">Check before you sell</t>
  </si>
  <si>
    <t xml:space="preserve">A claim was made, or it relates to subsidence (upload)</t>
  </si>
  <si>
    <t xml:space="preserve">One to two weeks; surveyors often recommend a test anyway</t>
  </si>
  <si>
    <t xml:space="preserve">You may already have the electrical certificate from when you bought: look in the seller's property information form, your solicitor's report on title, or your completion pack.</t>
  </si>
  <si>
    <t xml:space="preserve">register</t>
  </si>
  <si>
    <t xml:space="preserve">Search the electrical register</t>
  </si>
  <si>
    <t xml:space="preserve">Search the electrical competent person register for your address or electrician.</t>
  </si>
  <si>
    <t xml:space="preserve">Found (upload)</t>
  </si>
  <si>
    <t xml:space="preserve">Not found</t>
  </si>
  <si>
    <t xml:space="preserve">electrician</t>
  </si>
  <si>
    <t xml:space="preserve">Ask your electrician or their scheme</t>
  </si>
  <si>
    <t xml:space="preserve">Ask the electrician, or their scheme (such as NICEIC or NAPIT), for a copy.</t>
  </si>
  <si>
    <t xml:space="preserve">No copy</t>
  </si>
  <si>
    <t xml:space="preserve">eicr</t>
  </si>
  <si>
    <t xml:space="preserve">Book an electrical safety check</t>
  </si>
  <si>
    <t xml:space="preserve">Book an electrical installation condition report (EICR) from a registered electrician. It shows whether the wiring is safe.</t>
  </si>
  <si>
    <t xml:space="preserve">1 to 2 weeks</t>
  </si>
  <si>
    <t xml:space="preserve">Typically a few hundred pounds</t>
  </si>
  <si>
    <t xml:space="preserve">Satisfactory (upload)</t>
  </si>
  <si>
    <t xml:space="preserve">Unsatisfactory</t>
  </si>
  <si>
    <t xml:space="preserve">remedial</t>
  </si>
  <si>
    <t xml:space="preserve">Get the faults fixed</t>
  </si>
  <si>
    <t xml:space="preserve">Upload the report and a quote. Once fixed, upload the new certificate.</t>
  </si>
  <si>
    <t xml:space="preserve">Varies</t>
  </si>
  <si>
    <t xml:space="preserve">Fixed and certified (upload)</t>
  </si>
  <si>
    <t xml:space="preserve">Not fixed yet (upload)</t>
  </si>
  <si>
    <t xml:space="preserve">About a week; old or unserviced boilers get flagged by surveyors</t>
  </si>
  <si>
    <t xml:space="preserve">fuel</t>
  </si>
  <si>
    <t xml:space="preserve">What heats your home?</t>
  </si>
  <si>
    <t xml:space="preserve">1 minute</t>
  </si>
  <si>
    <t xml:space="preserve">Gas boiler</t>
  </si>
  <si>
    <t xml:space="preserve">gassafe</t>
  </si>
  <si>
    <t xml:space="preserve">oftec</t>
  </si>
  <si>
    <t xml:space="preserve">LPG or other</t>
  </si>
  <si>
    <t xml:space="preserve">other</t>
  </si>
  <si>
    <t xml:space="preserve">Check the Gas Safe Register</t>
  </si>
  <si>
    <t xml:space="preserve">Look up the building regulations compliance certificate for your address and order a copy if needed. Installers also often leave it inside the boiler manual.</t>
  </si>
  <si>
    <t xml:space="preserve">Small fee for a copy</t>
  </si>
  <si>
    <t xml:space="preserve">service</t>
  </si>
  <si>
    <t xml:space="preserve">Ask OFTEC or your installer</t>
  </si>
  <si>
    <t xml:space="preserve">Ask for the installation certificate for your boiler and tank.</t>
  </si>
  <si>
    <t xml:space="preserve">Add supply details</t>
  </si>
  <si>
    <t xml:space="preserve">Upload supply contracts and tank details. LPG contracts may need transferring to a buyer.</t>
  </si>
  <si>
    <t xml:space="preserve">Ask the installer</t>
  </si>
  <si>
    <t xml:space="preserve">Ask the company that fitted it for a copy of the certificate.</t>
  </si>
  <si>
    <t xml:space="preserve">service_flag</t>
  </si>
  <si>
    <t xml:space="preserve">Add the latest service record</t>
  </si>
  <si>
    <t xml:space="preserve">Upload the most recent service record, or book a service with a registered engineer.</t>
  </si>
  <si>
    <t xml:space="preserve">15 minutes or 1 to 2 weeks</t>
  </si>
  <si>
    <t xml:space="preserve">Typical service fee</t>
  </si>
  <si>
    <t xml:space="preserve">Serviced in the last 12 months (upload)</t>
  </si>
  <si>
    <t xml:space="preserve">Booked a service</t>
  </si>
  <si>
    <t xml:space="preserve">Upload a recent service record so a buyer can see the system is looked after.</t>
  </si>
  <si>
    <t xml:space="preserve">Often two to eight weeks; can make buyers withdraw</t>
  </si>
  <si>
    <t xml:space="preserve">mark</t>
  </si>
  <si>
    <t xml:space="preserve">Mark each boundary</t>
  </si>
  <si>
    <t xml:space="preserve">Look at your title plan and mark each side: mine, neighbour's, shared or not known. "Not known" is fine.</t>
  </si>
  <si>
    <t xml:space="preserve">Everything matches the plan</t>
  </si>
  <si>
    <t xml:space="preserve">Something is different</t>
  </si>
  <si>
    <t xml:space="preserve">what</t>
  </si>
  <si>
    <t xml:space="preserve">What's different?</t>
  </si>
  <si>
    <t xml:space="preserve">Choose all that apply.</t>
  </si>
  <si>
    <t xml:space="preserve">A fence or wall has moved</t>
  </si>
  <si>
    <t xml:space="preserve">photos</t>
  </si>
  <si>
    <t xml:space="preserve">I use land outside my title</t>
  </si>
  <si>
    <t xml:space="preserve">I bought extra land</t>
  </si>
  <si>
    <t xml:space="preserve">bought</t>
  </si>
  <si>
    <t xml:space="preserve">A neighbour disputes it</t>
  </si>
  <si>
    <t xml:space="preserve">dispute</t>
  </si>
  <si>
    <t xml:space="preserve">Add the transfer</t>
  </si>
  <si>
    <t xml:space="preserve">Upload the transfer deed for the land you bought and check it appears on your title.</t>
  </si>
  <si>
    <t xml:space="preserve">On my title (upload)</t>
  </si>
  <si>
    <t xml:space="preserve">Not on my title (upload)</t>
  </si>
  <si>
    <t xml:space="preserve">Photograph and describe it</t>
  </si>
  <si>
    <t xml:space="preserve">Photograph each boundary that looks different and describe what changed and when.</t>
  </si>
  <si>
    <t xml:space="preserve">Don't move fences or raise it with neighbours to fix it before taking advice.</t>
  </si>
  <si>
    <t xml:space="preserve">Record the dispute</t>
  </si>
  <si>
    <t xml:space="preserve">Add a timeline, correspondence and photos.</t>
  </si>
  <si>
    <t xml:space="preserve">One to three weeks</t>
  </si>
  <si>
    <t xml:space="preserve">docs</t>
  </si>
  <si>
    <t xml:space="preserve">Add the party wall paperwork</t>
  </si>
  <si>
    <t xml:space="preserve">Upload the notice, any award and the schedule of condition.</t>
  </si>
  <si>
    <t xml:space="preserve">All added, works finished (upload)</t>
  </si>
  <si>
    <t xml:space="preserve">Some missing</t>
  </si>
  <si>
    <t xml:space="preserve">surveyor</t>
  </si>
  <si>
    <t xml:space="preserve">No notice was served, or there is a dispute</t>
  </si>
  <si>
    <t xml:space="preserve">Ask the surveyor</t>
  </si>
  <si>
    <t xml:space="preserve">Ask the party wall surveyor who acted for a copy.</t>
  </si>
  <si>
    <t xml:space="preserve">Got it (upload)</t>
  </si>
  <si>
    <t xml:space="preserve">About an hour</t>
  </si>
  <si>
    <t xml:space="preserve">Disclosure wording is checked by both conveyancers and can add weeks</t>
  </si>
  <si>
    <t xml:space="preserve">timeline</t>
  </si>
  <si>
    <t xml:space="preserve">Write a short timeline</t>
  </si>
  <si>
    <t xml:space="preserve">What happened, when, who was involved, and how it ended. Stick to facts.</t>
  </si>
  <si>
    <t xml:space="preserve">Upload letters, emails, reference numbers and any settlement agreement.</t>
  </si>
  <si>
    <t xml:space="preserve">Fully settled (upload)</t>
  </si>
  <si>
    <t xml:space="preserve">Still ongoing, or might happen (upload)</t>
  </si>
  <si>
    <t xml:space="preserve">Same day</t>
  </si>
  <si>
    <t xml:space="preserve">A few days, longer if the notice needs explaining</t>
  </si>
  <si>
    <t xml:space="preserve">notice</t>
  </si>
  <si>
    <t xml:space="preserve">Add the notice</t>
  </si>
  <si>
    <t xml:space="preserve">Upload the notice or letter, and link the council planning record for anything nearby.</t>
  </si>
  <si>
    <t xml:space="preserve">Nearby development (upload)</t>
  </si>
  <si>
    <t xml:space="preserve">Compulsory purchase, enforcement, or a notice that could cost you money (upload)</t>
  </si>
  <si>
    <t xml:space="preserve">Can add weeks if the buyer struggles to insure</t>
  </si>
  <si>
    <t xml:space="preserve">policy</t>
  </si>
  <si>
    <t xml:space="preserve">Add your insurance</t>
  </si>
  <si>
    <t xml:space="preserve">Upload your current policy schedule. For a flat, ask the managing agent for the building policy.</t>
  </si>
  <si>
    <t xml:space="preserve">claims</t>
  </si>
  <si>
    <t xml:space="preserve">Any claims or problems?</t>
  </si>
  <si>
    <t xml:space="preserve">Past claims, repaired</t>
  </si>
  <si>
    <t xml:space="preserve">claims_add</t>
  </si>
  <si>
    <t xml:space="preserve">Refused, loaded or special terms</t>
  </si>
  <si>
    <t xml:space="preserve">refused</t>
  </si>
  <si>
    <t xml:space="preserve">Add claim details</t>
  </si>
  <si>
    <t xml:space="preserve">Date, cause and repairs for each claim, with invoices. Flood claims also go through the flooding pathway.</t>
  </si>
  <si>
    <t xml:space="preserve">Added, not subsidence (upload)</t>
  </si>
  <si>
    <t xml:space="preserve">Subsidence-related (upload)</t>
  </si>
  <si>
    <t xml:space="preserve">Add the insurer's letter</t>
  </si>
  <si>
    <t xml:space="preserve">Upload the letter and note the reason. Flood Re may help buyers find cover in flood-risk areas.</t>
  </si>
  <si>
    <t xml:space="preserve">One to three weeks; insurance problems can stop a sale</t>
  </si>
  <si>
    <t xml:space="preserve">risk</t>
  </si>
  <si>
    <t xml:space="preserve">Check your flood risk</t>
  </si>
  <si>
    <t xml:space="preserve">Check the government's long-term flood risk service for your address and save the result.</t>
  </si>
  <si>
    <t xml:space="preserve">Done (upload)</t>
  </si>
  <si>
    <t xml:space="preserve">history</t>
  </si>
  <si>
    <t xml:space="preserve">Has it ever flooded?</t>
  </si>
  <si>
    <t xml:space="preserve">details</t>
  </si>
  <si>
    <t xml:space="preserve">Record the flooding</t>
  </si>
  <si>
    <t xml:space="preserve">Date, type (river, sea, surface water, groundwater, sewer), cause and repairs, with invoices and claims. Add any flood protection fitted, such as door barriers or non-return valves.</t>
  </si>
  <si>
    <t xml:space="preserve">Once, repaired (upload)</t>
  </si>
  <si>
    <t xml:space="preserve">More than once, or insurance difficult (upload)</t>
  </si>
  <si>
    <t xml:space="preserve">A test takes about three months, so start early</t>
  </si>
  <si>
    <t xml:space="preserve">No time to test; becomes a negotiating point</t>
  </si>
  <si>
    <t xml:space="preserve">map</t>
  </si>
  <si>
    <t xml:space="preserve">Check the radon map</t>
  </si>
  <si>
    <t xml:space="preserve">Check the UK radon map for your address.</t>
  </si>
  <si>
    <t xml:space="preserve">Not in an affected area (upload)</t>
  </si>
  <si>
    <t xml:space="preserve">Affected area</t>
  </si>
  <si>
    <t xml:space="preserve">test</t>
  </si>
  <si>
    <t xml:space="preserve">Test your home</t>
  </si>
  <si>
    <t xml:space="preserve">Order a home radon test kit. Detectors stay in place for about three months.</t>
  </si>
  <si>
    <t xml:space="preserve">About 3 months</t>
  </si>
  <si>
    <t xml:space="preserve">Modest cost</t>
  </si>
  <si>
    <t xml:space="preserve">Below the action level (upload)</t>
  </si>
  <si>
    <t xml:space="preserve">Above the action level</t>
  </si>
  <si>
    <t xml:space="preserve">fix</t>
  </si>
  <si>
    <t xml:space="preserve">Test ordered</t>
  </si>
  <si>
    <t xml:space="preserve">Reduce radon levels</t>
  </si>
  <si>
    <t xml:space="preserve">Get a quote for a radon sump or improved ventilation, have it fitted, then retest. Upload all reports.</t>
  </si>
  <si>
    <t xml:space="preserve">1 to 4 months</t>
  </si>
  <si>
    <t xml:space="preserve">Retest below the level (upload)</t>
  </si>
  <si>
    <t xml:space="preserve">Not done yet (upload)</t>
  </si>
  <si>
    <t xml:space="preserve">UMU finds it automatically; a new EPC takes a few days</t>
  </si>
  <si>
    <t xml:space="preserve">The home can't be marketed without one</t>
  </si>
  <si>
    <t xml:space="preserve">lookup</t>
  </si>
  <si>
    <t xml:space="preserve">info</t>
  </si>
  <si>
    <t xml:space="preserve">We've checked the EPC register</t>
  </si>
  <si>
    <t xml:space="preserve">UMU looks up your certificate automatically. EPCs last 10 years.</t>
  </si>
  <si>
    <t xml:space="preserve">Automatic</t>
  </si>
  <si>
    <t xml:space="preserve">Valid EPC found</t>
  </si>
  <si>
    <t xml:space="preserve">Missing or expired</t>
  </si>
  <si>
    <t xml:space="preserve">book</t>
  </si>
  <si>
    <t xml:space="preserve">Book an EPC</t>
  </si>
  <si>
    <t xml:space="preserve">Book an accredited energy assessor.</t>
  </si>
  <si>
    <t xml:space="preserve">A few days</t>
  </si>
  <si>
    <t xml:space="preserve">Modest fee</t>
  </si>
  <si>
    <t xml:space="preserve">New EPC received (upload)</t>
  </si>
  <si>
    <t xml:space="preserve">Booked</t>
  </si>
  <si>
    <t xml:space="preserve">One to two weeks; some buyers want it paid off</t>
  </si>
  <si>
    <t xml:space="preserve">bill</t>
  </si>
  <si>
    <t xml:space="preserve">Add your electricity bill</t>
  </si>
  <si>
    <t xml:space="preserve">The Green Deal charge appears on the bill.</t>
  </si>
  <si>
    <t xml:space="preserve">plan</t>
  </si>
  <si>
    <t xml:space="preserve">Get the plan and settlement figure</t>
  </si>
  <si>
    <t xml:space="preserve">Ask the Green Deal provider for the plan documents and a figure to pay it off.</t>
  </si>
  <si>
    <t xml:space="preserve">Start treatment years before selling</t>
  </si>
  <si>
    <t xml:space="preserve">Can stop a mortgage; buyers often withdraw</t>
  </si>
  <si>
    <t xml:space="preserve">where</t>
  </si>
  <si>
    <t xml:space="preserve">Where is it?</t>
  </si>
  <si>
    <t xml:space="preserve">On my property</t>
  </si>
  <si>
    <t xml:space="preserve">survey</t>
  </si>
  <si>
    <t xml:space="preserve">On a neighbour's land</t>
  </si>
  <si>
    <t xml:space="preserve">neighbour</t>
  </si>
  <si>
    <t xml:space="preserve">Get a specialist survey</t>
  </si>
  <si>
    <t xml:space="preserve">Photograph the plant, then book a survey from a specialist knotweed company.</t>
  </si>
  <si>
    <t xml:space="preserve">Survey fee</t>
  </si>
  <si>
    <t xml:space="preserve">Survey done (upload)</t>
  </si>
  <si>
    <t xml:space="preserve">Start a management plan</t>
  </si>
  <si>
    <t xml:space="preserve">Choose a plan that comes with an insurance-backed guarantee, which lenders usually require. Upload both.</t>
  </si>
  <si>
    <t xml:space="preserve">Treatment runs over several years</t>
  </si>
  <si>
    <t xml:space="preserve">Plan and guarantee in place (upload)</t>
  </si>
  <si>
    <t xml:space="preserve">Not yet</t>
  </si>
  <si>
    <t xml:space="preserve">Record it</t>
  </si>
  <si>
    <t xml:space="preserve">Photograph it and note roughly how far it is from your boundary.</t>
  </si>
  <si>
    <t xml:space="preserve">Often two to six weeks, especially if a deed or indemnity is needed</t>
  </si>
  <si>
    <t xml:space="preserve">Mark it on your plan</t>
  </si>
  <si>
    <t xml:space="preserve">Mark the shared driveway, path or services on your title plan.</t>
  </si>
  <si>
    <t xml:space="preserve">Is the right on your title?</t>
  </si>
  <si>
    <t xml:space="preserve">UMU highlights any rights on your title register. Is this one there?</t>
  </si>
  <si>
    <t xml:space="preserve">Yes, and used as described</t>
  </si>
  <si>
    <t xml:space="preserve">No, but we have a written agreement</t>
  </si>
  <si>
    <t xml:space="preserve">agreement</t>
  </si>
  <si>
    <t xml:space="preserve">No paperwork</t>
  </si>
  <si>
    <t xml:space="preserve">informal</t>
  </si>
  <si>
    <t xml:space="preserve">blocked</t>
  </si>
  <si>
    <t xml:space="preserve">Add the agreement</t>
  </si>
  <si>
    <t xml:space="preserve">Upload it and note how costs are shared.</t>
  </si>
  <si>
    <t xml:space="preserve">Record the arrangement</t>
  </si>
  <si>
    <t xml:space="preserve">How long it has been used, by whom, and how costs are shared. Add photos.</t>
  </si>
  <si>
    <t xml:space="preserve">Record what happened</t>
  </si>
  <si>
    <t xml:space="preserve">A few days; sometimes an indemnity policy request</t>
  </si>
  <si>
    <t xml:space="preserve">explain</t>
  </si>
  <si>
    <t xml:space="preserve">Understand the entry</t>
  </si>
  <si>
    <t xml:space="preserve">UMU explains each right on your title register in plain English.</t>
  </si>
  <si>
    <t xml:space="preserve">Understood</t>
  </si>
  <si>
    <t xml:space="preserve">Add any related documents</t>
  </si>
  <si>
    <t xml:space="preserve">Upload any notice, or any policy from when you bought.</t>
  </si>
  <si>
    <t xml:space="preserve">Light, support or other rights (upload)</t>
  </si>
  <si>
    <t xml:space="preserve">Chancel repair or mining (upload)</t>
  </si>
  <si>
    <t xml:space="preserve">describe</t>
  </si>
  <si>
    <t xml:space="preserve">Describe your parking</t>
  </si>
  <si>
    <t xml:space="preserve">Add photos, any permit zone and its cost, and EV charging.</t>
  </si>
  <si>
    <t xml:space="preserve">On my title or permit (upload)</t>
  </si>
  <si>
    <t xml:space="preserve">Garage or space on a separate title or lease</t>
  </si>
  <si>
    <t xml:space="preserve">separate</t>
  </si>
  <si>
    <t xml:space="preserve">Add the separate title or lease</t>
  </si>
  <si>
    <t xml:space="preserve">It must be included in the sale.</t>
  </si>
  <si>
    <t xml:space="preserve">One to two weeks</t>
  </si>
  <si>
    <t xml:space="preserve">Often two to four weeks waiting for the management company</t>
  </si>
  <si>
    <t xml:space="preserve">invoice</t>
  </si>
  <si>
    <t xml:space="preserve">Add the latest invoice</t>
  </si>
  <si>
    <t xml:space="preserve">Include the management company's contact details.</t>
  </si>
  <si>
    <t xml:space="preserve">statements</t>
  </si>
  <si>
    <t xml:space="preserve">Ask for statements</t>
  </si>
  <si>
    <t xml:space="preserve">Ask the management company for three years of statements and confirmation that nothing is owed.</t>
  </si>
  <si>
    <t xml:space="preserve">Received, nothing owed (upload)</t>
  </si>
  <si>
    <t xml:space="preserve">Arrears, dispute, or a rentcharge (upload)</t>
  </si>
  <si>
    <t xml:space="preserve">Same day; tenancy notice periods run for weeks or months</t>
  </si>
  <si>
    <t xml:space="preserve">Can delay completion</t>
  </si>
  <si>
    <t xml:space="preserve">who</t>
  </si>
  <si>
    <t xml:space="preserve">Who else lives there?</t>
  </si>
  <si>
    <t xml:space="preserve">Only the sellers</t>
  </si>
  <si>
    <t xml:space="preserve">Other adults</t>
  </si>
  <si>
    <t xml:space="preserve">adults</t>
  </si>
  <si>
    <t xml:space="preserve">Tenants or lodgers</t>
  </si>
  <si>
    <t xml:space="preserve">tenants</t>
  </si>
  <si>
    <t xml:space="preserve">Add their names</t>
  </si>
  <si>
    <t xml:space="preserve">Everyone aged 17 or over. They usually sign the contract to confirm they will leave.</t>
  </si>
  <si>
    <t xml:space="preserve">Added, they agree</t>
  </si>
  <si>
    <t xml:space="preserve">Added, not agreed</t>
  </si>
  <si>
    <t xml:space="preserve">Add the tenancy</t>
  </si>
  <si>
    <t xml:space="preserve">Upload the tenancy agreement and deposit protection certificate.</t>
  </si>
  <si>
    <t xml:space="preserve">One to four weeks; longer if the system needs upgrading</t>
  </si>
  <si>
    <t xml:space="preserve">Often several weeks; upgrade costs become a negotiation</t>
  </si>
  <si>
    <t xml:space="preserve">What system do you have?</t>
  </si>
  <si>
    <t xml:space="preserve">Mark where it is on your plan.</t>
  </si>
  <si>
    <t xml:space="preserve">records</t>
  </si>
  <si>
    <t xml:space="preserve">Treatment plant</t>
  </si>
  <si>
    <t xml:space="preserve">Add emptying and service records</t>
  </si>
  <si>
    <t xml:space="preserve">Book a service or empty if overdue.</t>
  </si>
  <si>
    <t xml:space="preserve">discharge</t>
  </si>
  <si>
    <t xml:space="preserve">Where does it discharge?</t>
  </si>
  <si>
    <t xml:space="preserve">Into the ground (drainage field)</t>
  </si>
  <si>
    <t xml:space="preserve">shared</t>
  </si>
  <si>
    <t xml:space="preserve">Into a ditch, stream or river</t>
  </si>
  <si>
    <t xml:space="preserve">watercourse</t>
  </si>
  <si>
    <t xml:space="preserve">Not sure</t>
  </si>
  <si>
    <t xml:space="preserve">Record the discharge point</t>
  </si>
  <si>
    <t xml:space="preserve">In England, systems discharging to water must meet the General Binding Rules, which often means upgrading. Add photos of the outlet.</t>
  </si>
  <si>
    <t xml:space="preserve">Shared or on other land?</t>
  </si>
  <si>
    <t xml:space="preserve">Only mine, on my land</t>
  </si>
  <si>
    <t xml:space="preserve">Shared, or on a neighbour's land</t>
  </si>
  <si>
    <t xml:space="preserve">A few days of back and forth</t>
  </si>
  <si>
    <t xml:space="preserve">suppliers</t>
  </si>
  <si>
    <t xml:space="preserve">Add your suppliers</t>
  </si>
  <si>
    <t xml:space="preserve">Supplier and meter location for each service, with a recent bill.</t>
  </si>
  <si>
    <t xml:space="preserve">All mains (upload)</t>
  </si>
  <si>
    <t xml:space="preserve">Something is not mains</t>
  </si>
  <si>
    <t xml:space="preserve">nonmains</t>
  </si>
  <si>
    <t xml:space="preserve">Record the alternative</t>
  </si>
  <si>
    <t xml:space="preserve">For example oil, LPG, private water or no gas.</t>
  </si>
  <si>
    <t xml:space="preserve">Oil, LPG or no gas (upload)</t>
  </si>
  <si>
    <t xml:space="preserve">Private water supply (upload)</t>
  </si>
  <si>
    <t xml:space="preserve">Repeated questions throughout</t>
  </si>
  <si>
    <t xml:space="preserve">chain</t>
  </si>
  <si>
    <t xml:space="preserve">Your sale and moving</t>
  </si>
  <si>
    <t xml:space="preserve">Does your sale depend on buying another home? Any dates you can't move?</t>
  </si>
  <si>
    <t xml:space="preserve">mortgage</t>
  </si>
  <si>
    <t xml:space="preserve">Your mortgage</t>
  </si>
  <si>
    <t xml:space="preserve">Add your lender and approximate balance. Never add the account number.</t>
  </si>
  <si>
    <t xml:space="preserve">The sale will cover it, or no mortgage</t>
  </si>
  <si>
    <t xml:space="preserve">It may not cover it</t>
  </si>
  <si>
    <t xml:space="preserve">20 to 40 minutes</t>
  </si>
  <si>
    <t xml:space="preserve">Last-minute disputes and moving-day arguments</t>
  </si>
  <si>
    <t xml:space="preserve">Go room by room</t>
  </si>
  <si>
    <t xml:space="preserve">Mark each item included, excluded or none.</t>
  </si>
  <si>
    <t xml:space="preserve">Done, nothing for sale or removed</t>
  </si>
  <si>
    <t xml:space="preserve">Some items for sale or fixtures removed</t>
  </si>
  <si>
    <t xml:space="preserve">extra</t>
  </si>
  <si>
    <t xml:space="preserve">Add prices and photos</t>
  </si>
  <si>
    <t xml:space="preserve">Photograph items for sale and add the price. Removing fixtures means making good any damage.</t>
  </si>
  <si>
    <t xml:space="preserve">Same day if documents exist; probate can take months</t>
  </si>
  <si>
    <t xml:space="preserve">Can stop a sale until authority is shown</t>
  </si>
  <si>
    <t xml:space="preserve">match</t>
  </si>
  <si>
    <t xml:space="preserve">We've checked the owners</t>
  </si>
  <si>
    <t xml:space="preserve">UMU compares the names you gave with the title register.</t>
  </si>
  <si>
    <t xml:space="preserve">Names match</t>
  </si>
  <si>
    <t xml:space="preserve">Names don't match</t>
  </si>
  <si>
    <t xml:space="preserve">Add proof of authority</t>
  </si>
  <si>
    <t xml:space="preserve">Grant of probate, lasting power of attorney, death certificate, or company details.</t>
  </si>
  <si>
    <t xml:space="preserve">Probate not yet granted</t>
  </si>
  <si>
    <t xml:space="preserve">The nomination period can add weeks</t>
  </si>
  <si>
    <t xml:space="preserve">share</t>
  </si>
  <si>
    <t xml:space="preserve">Add your share and rent</t>
  </si>
  <si>
    <t xml:space="preserve">Upload a recent housing association statement.</t>
  </si>
  <si>
    <t xml:space="preserve">resale</t>
  </si>
  <si>
    <t xml:space="preserve">Ask about the resale process</t>
  </si>
  <si>
    <t xml:space="preserve">Ask the housing association for its resale process and how long its nomination period lasts.</t>
  </si>
  <si>
    <t xml:space="preserve">Extending a lease can take months, so start early</t>
  </si>
  <si>
    <t xml:space="preserve">Can stop a buyer getting a mortgage</t>
  </si>
  <si>
    <t xml:space="preserve">term</t>
  </si>
  <si>
    <t xml:space="preserve">Lease length</t>
  </si>
  <si>
    <t xml:space="preserve">Add the lease start date and length. UMU calculates the years left.</t>
  </si>
  <si>
    <t xml:space="preserve">90 years or more</t>
  </si>
  <si>
    <t xml:space="preserve">rent</t>
  </si>
  <si>
    <t xml:space="preserve">Under 90 years</t>
  </si>
  <si>
    <t xml:space="preserve">Ground rent</t>
  </si>
  <si>
    <t xml:space="preserve">Upload recent ground rent demands and note how the rent can change.</t>
  </si>
  <si>
    <t xml:space="preserve">Fixed or low (upload)</t>
  </si>
  <si>
    <t xml:space="preserve">Doubles or rises steeply (upload)</t>
  </si>
  <si>
    <t xml:space="preserve">Two to six weeks, with no chain waiting</t>
  </si>
  <si>
    <t xml:space="preserve">Often four to eight weeks; agents charge for the pack</t>
  </si>
  <si>
    <t xml:space="preserve">contacts</t>
  </si>
  <si>
    <t xml:space="preserve">Add your contacts</t>
  </si>
  <si>
    <t xml:space="preserve">Landlord, managing agent and residents' company.</t>
  </si>
  <si>
    <t xml:space="preserve">Added</t>
  </si>
  <si>
    <t xml:space="preserve">Add your lease</t>
  </si>
  <si>
    <t xml:space="preserve">UMU can often download it from HM Land Registry. Add any later changes.</t>
  </si>
  <si>
    <t xml:space="preserve">Add three years of statements</t>
  </si>
  <si>
    <t xml:space="preserve">Service charge and ground rent statements and receipts.</t>
  </si>
  <si>
    <t xml:space="preserve">agent</t>
  </si>
  <si>
    <t xml:space="preserve">Ask your managing agent</t>
  </si>
  <si>
    <t xml:space="preserve">Request the building insurance schedule, company accounts, budget and any planned works.</t>
  </si>
  <si>
    <t xml:space="preserve">Agent may charge</t>
  </si>
  <si>
    <t xml:space="preserve">All received (upload)</t>
  </si>
  <si>
    <t xml:space="preserve">Some not provided (upload)</t>
  </si>
  <si>
    <t xml:space="preserve">Same day to check; restoring a company takes weeks</t>
  </si>
  <si>
    <t xml:space="preserve">Can hold up completion</t>
  </si>
  <si>
    <t xml:space="preserve">freehold</t>
  </si>
  <si>
    <t xml:space="preserve">We've checked the freehold</t>
  </si>
  <si>
    <t xml:space="preserve">UMU downloads the freehold title to show who owns it.</t>
  </si>
  <si>
    <t xml:space="preserve">company</t>
  </si>
  <si>
    <t xml:space="preserve">Check the residents' company</t>
  </si>
  <si>
    <t xml:space="preserve">Search the company on Companies House.</t>
  </si>
  <si>
    <t xml:space="preserve">Active, or no company</t>
  </si>
  <si>
    <t xml:space="preserve">Dissolved</t>
  </si>
  <si>
    <t xml:space="preserve">Two to six weeks; money often held back from the sale</t>
  </si>
  <si>
    <t xml:space="preserve">What applies?</t>
  </si>
  <si>
    <t xml:space="preserve">Major works planned</t>
  </si>
  <si>
    <t xml:space="preserve">A past or current dispute</t>
  </si>
  <si>
    <t xml:space="preserve">I owe money</t>
  </si>
  <si>
    <t xml:space="preserve">Cladding or fire safety concerns</t>
  </si>
  <si>
    <t xml:space="preserve">Add the works notices</t>
  </si>
  <si>
    <t xml:space="preserve">Upload consultation notices and estimates.</t>
  </si>
  <si>
    <t xml:space="preserve">Add the dispute details</t>
  </si>
  <si>
    <t xml:space="preserve">What was disputed and the outcome, with correspondence.</t>
  </si>
  <si>
    <t xml:space="preserve">Settled (upload)</t>
  </si>
  <si>
    <t xml:space="preserve">Ongoing (upload)</t>
  </si>
  <si>
    <t xml:space="preserve">Two to six weeks; sometimes retrospective consent fees</t>
  </si>
  <si>
    <t xml:space="preserve">Add any notices</t>
  </si>
  <si>
    <t xml:space="preserve">Upload notices from your landlord.</t>
  </si>
  <si>
    <t xml:space="preserve">alterations</t>
  </si>
  <si>
    <t xml:space="preserve">Landlord selling the building (upload)</t>
  </si>
  <si>
    <t xml:space="preserve">Other notices (upload)</t>
  </si>
  <si>
    <t xml:space="preserve">Any changes to the flat?</t>
  </si>
  <si>
    <t xml:space="preserve">consent</t>
  </si>
  <si>
    <t xml:space="preserve">Add the landlord's consent</t>
  </si>
  <si>
    <t xml:space="preserve">Upload the licence for alterations for each change, or ask the landlord for a copy.</t>
  </si>
  <si>
    <t xml:space="preserve">15 minutes to 3 weeks</t>
  </si>
  <si>
    <t xml:space="preserve">All consented (upload)</t>
  </si>
  <si>
    <t xml:space="preserve">Statutory claims take months</t>
  </si>
  <si>
    <t xml:space="preserve">Timing must be coordinated with the sale</t>
  </si>
  <si>
    <t xml:space="preserve">Add all notices</t>
  </si>
  <si>
    <t xml:space="preserve">Upload every notice served or received.</t>
  </si>
  <si>
    <t xml:space="preserve">Weeks to months to get certificates</t>
  </si>
  <si>
    <t xml:space="preserve">One of the most serious causes of delay for flats</t>
  </si>
  <si>
    <t xml:space="preserve">height</t>
  </si>
  <si>
    <t xml:space="preserve">Building height</t>
  </si>
  <si>
    <t xml:space="preserve">How many storeys, or is it 11 metres or taller?</t>
  </si>
  <si>
    <t xml:space="preserve">Under 11 metres and under 5 storeys</t>
  </si>
  <si>
    <t xml:space="preserve">11 metres or 5 storeys or more</t>
  </si>
  <si>
    <t xml:space="preserve">Add safety documents</t>
  </si>
  <si>
    <t xml:space="preserve">Any EWS1 form, fire risk assessment and remediation notices.</t>
  </si>
  <si>
    <t xml:space="preserve">deed</t>
  </si>
  <si>
    <t xml:space="preserve">Complete or upload it. A conveyancer can help.</t>
  </si>
  <si>
    <t xml:space="preserve">Uploaded (upload)</t>
  </si>
  <si>
    <t xml:space="preserve">landlord</t>
  </si>
  <si>
    <t xml:space="preserve">Need help</t>
  </si>
  <si>
    <t xml:space="preserve">Request the landlord's certificate</t>
  </si>
  <si>
    <t xml:space="preserve">Tell your landlord you plan to sell and ask for the certificate. Landlords have a set period to respond.</t>
  </si>
  <si>
    <t xml:space="preserve">Weeks</t>
  </si>
  <si>
    <t xml:space="preserve">Received (upload)</t>
  </si>
  <si>
    <t xml:space="preserve">Known or suspected defects</t>
  </si>
  <si>
    <t xml:space="preserve">Automatic, in minutes</t>
  </si>
  <si>
    <t xml:space="preserve">Issues found late cause delay</t>
  </si>
  <si>
    <t xml:space="preserve">download</t>
  </si>
  <si>
    <t xml:space="preserve">We've downloaded your title</t>
  </si>
  <si>
    <t xml:space="preserve">UMU downloads the title register and plan from HM Land Registry and runs automatic checks.</t>
  </si>
  <si>
    <t xml:space="preserve">Included</t>
  </si>
  <si>
    <t xml:space="preserve">Registered</t>
  </si>
  <si>
    <t xml:space="preserve">Unregistered land</t>
  </si>
  <si>
    <t xml:space="preserve">deeds</t>
  </si>
  <si>
    <t xml:space="preserve">Add your deeds</t>
  </si>
  <si>
    <t xml:space="preserve">Upload the deeds for unregistered land.</t>
  </si>
  <si>
    <t xml:space="preserve">Optional; results in days to weeks</t>
  </si>
  <si>
    <t xml:space="preserve">Searches can take several weeks in some areas</t>
  </si>
  <si>
    <t xml:space="preserve">Add any searches you have</t>
  </si>
  <si>
    <t xml:space="preserve">Upload searches from your own purchase. They are useful background but too old for a buyer to rely on.</t>
  </si>
  <si>
    <t xml:space="preserve">None adverse (upload)</t>
  </si>
  <si>
    <t xml:space="preserve">Something adverse (upload)</t>
  </si>
  <si>
    <t xml:space="preserve">None to add</t>
  </si>
  <si>
    <t xml:space="preserve">BASPI part</t>
  </si>
  <si>
    <t xml:space="preserve">Action</t>
  </si>
  <si>
    <t xml:space="preserve">Suggested UMU section</t>
  </si>
  <si>
    <t xml:space="preserve">Place after</t>
  </si>
  <si>
    <t xml:space="preserve">Topic in plain English</t>
  </si>
  <si>
    <t xml:space="preserve">additionalInformation.otherMaterialIssue</t>
  </si>
  <si>
    <t xml:space="preserve">A12.2</t>
  </si>
  <si>
    <t xml:space="preserve">Part A (material information)</t>
  </si>
  <si>
    <t xml:space="preserve">Missing: add a question</t>
  </si>
  <si>
    <t xml:space="preserve">Q118 (end of section)</t>
  </si>
  <si>
    <t xml:space="preserve">Anything else a buyer should know about the property or area</t>
  </si>
  <si>
    <t xml:space="preserve">additionalInformation.restrictionsOnUseNotCompliedWith</t>
  </si>
  <si>
    <t xml:space="preserve">A12.1</t>
  </si>
  <si>
    <t xml:space="preserve">Q29</t>
  </si>
  <si>
    <t xml:space="preserve">Any rules on how the property can be used or altered that have not been followed (for example covenants)</t>
  </si>
  <si>
    <t xml:space="preserve">buildInformation.building.entranceFloor</t>
  </si>
  <si>
    <t xml:space="preserve">A1.8.5.1</t>
  </si>
  <si>
    <t xml:space="preserve">Q13</t>
  </si>
  <si>
    <t xml:space="preserve">Which floor is the main entrance on (flats)</t>
  </si>
  <si>
    <t xml:space="preserve">buildInformation.building.numberOfFloors</t>
  </si>
  <si>
    <t xml:space="preserve">A1.8.5.2</t>
  </si>
  <si>
    <t xml:space="preserve">How many floors the building has</t>
  </si>
  <si>
    <t xml:space="preserve">buildInformation.building.overCommercialPremises</t>
  </si>
  <si>
    <t xml:space="preserve">A1.8.6</t>
  </si>
  <si>
    <t xml:space="preserve">Is the property above a shop, restaurant or other business</t>
  </si>
  <si>
    <t xml:space="preserve">connectivity.mobilePhone</t>
  </si>
  <si>
    <t xml:space="preserve">Q111</t>
  </si>
  <si>
    <t xml:space="preserve">Mobile signal and coverage at the property</t>
  </si>
  <si>
    <t xml:space="preserve">consumerProtectionRegulationsDeclaration</t>
  </si>
  <si>
    <t xml:space="preserve">A13</t>
  </si>
  <si>
    <t xml:space="preserve">Final question of the passport</t>
  </si>
  <si>
    <t xml:space="preserve">Seller confirms the information is accurate to the best of their knowledge</t>
  </si>
  <si>
    <t xml:space="preserve">councilTax.councilTaxAffectingAlterations</t>
  </si>
  <si>
    <t xml:space="preserve">A1.9.2</t>
  </si>
  <si>
    <t xml:space="preserve">Q6</t>
  </si>
  <si>
    <t xml:space="preserve">Any works that might change the council tax band</t>
  </si>
  <si>
    <t xml:space="preserve">delayFactors</t>
  </si>
  <si>
    <t xml:space="preserve">A1.2</t>
  </si>
  <si>
    <t xml:space="preserve">Q112</t>
  </si>
  <si>
    <t xml:space="preserve">Anything that might delay or complicate the sale (for example probate or divorce)</t>
  </si>
  <si>
    <t xml:space="preserve">electricity.heatPump</t>
  </si>
  <si>
    <t xml:space="preserve">A7.1.0.9</t>
  </si>
  <si>
    <t xml:space="preserve">Q92</t>
  </si>
  <si>
    <t xml:space="preserve">Is there an air or ground source heat pump</t>
  </si>
  <si>
    <t xml:space="preserve">electricity.otherSources</t>
  </si>
  <si>
    <t xml:space="preserve">Q106</t>
  </si>
  <si>
    <t xml:space="preserve">Any other electricity sources (wind turbine, battery storage)</t>
  </si>
  <si>
    <t xml:space="preserve">fixturesAndFittings.itemsToInclude</t>
  </si>
  <si>
    <t xml:space="preserve">A6.2</t>
  </si>
  <si>
    <t xml:space="preserve">Q218 (end of section)</t>
  </si>
  <si>
    <t xml:space="preserve">Summary: anything else included in the sale</t>
  </si>
  <si>
    <t xml:space="preserve">fixturesAndFittings.itemsToRemove</t>
  </si>
  <si>
    <t xml:space="preserve">A6.1</t>
  </si>
  <si>
    <t xml:space="preserve">Summary: anything being removed that a buyer might expect to stay</t>
  </si>
  <si>
    <t xml:space="preserve">heating.heatingSystem.centralHeatingDetails.centralHeatingFuel.otherCentralHeatingFuelType</t>
  </si>
  <si>
    <t xml:space="preserve">A7.4.0.3</t>
  </si>
  <si>
    <t xml:space="preserve">12.3a2</t>
  </si>
  <si>
    <t xml:space="preserve">Q92 (follow-up)</t>
  </si>
  <si>
    <t xml:space="preserve">"Other" heating fuel, if not listed</t>
  </si>
  <si>
    <t xml:space="preserve">legalBoundaries.boundaryAlterationProposal</t>
  </si>
  <si>
    <t xml:space="preserve">A9.4</t>
  </si>
  <si>
    <t xml:space="preserve">Q20</t>
  </si>
  <si>
    <t xml:space="preserve">Any plans to change a boundary, or neighbour proposals to do so</t>
  </si>
  <si>
    <t xml:space="preserve">legalBoundaries.partOnSeparateSiteOrDeed</t>
  </si>
  <si>
    <t xml:space="preserve">A9.2</t>
  </si>
  <si>
    <t xml:space="preserve">Q18</t>
  </si>
  <si>
    <t xml:space="preserve">Is any part of the property (garage, garden, parking) on a separate site or title</t>
  </si>
  <si>
    <t xml:space="preserve">legalBoundaries.partOutsideLegalOwnership</t>
  </si>
  <si>
    <t xml:space="preserve">A9.1</t>
  </si>
  <si>
    <t xml:space="preserve">Do you use any land you do not legally own</t>
  </si>
  <si>
    <t xml:space="preserve">otherIssues</t>
  </si>
  <si>
    <t xml:space="preserve">A11</t>
  </si>
  <si>
    <t xml:space="preserve">Q22</t>
  </si>
  <si>
    <t xml:space="preserve">Noise disturbance, crime at the property, occupiers with convictions, failed sales in the last 12 months</t>
  </si>
  <si>
    <t xml:space="preserve">ownership.ownershipsToBeTransferred[].leaseholdInformation.serviceCharge.transferFees</t>
  </si>
  <si>
    <t xml:space="preserve">A1.5.3</t>
  </si>
  <si>
    <t xml:space="preserve">Q252</t>
  </si>
  <si>
    <t xml:space="preserve">Fees payable to the landlord or management company when the flat is sold</t>
  </si>
  <si>
    <t xml:space="preserve">ownership.ownershipsToBeTransferred[].leaseholdInformation.transferAndRegistration</t>
  </si>
  <si>
    <t xml:space="preserve">Q241</t>
  </si>
  <si>
    <t xml:space="preserve">Who must be notified of the sale and any registration requirements under the lease</t>
  </si>
  <si>
    <t xml:space="preserve">ownership.ownershipsToBeTransferred[].wholeFreeholdForSale</t>
  </si>
  <si>
    <t xml:space="preserve">A1.3.0.2.1</t>
  </si>
  <si>
    <t xml:space="preserve">Q8</t>
  </si>
  <si>
    <t xml:space="preserve">For freehold: is the whole freehold being sold</t>
  </si>
  <si>
    <t xml:space="preserve">parking.electricVehicleChargingPoint</t>
  </si>
  <si>
    <t xml:space="preserve">A1.6.1</t>
  </si>
  <si>
    <t xml:space="preserve">Q78</t>
  </si>
  <si>
    <t xml:space="preserve">Is there an EV charging point</t>
  </si>
  <si>
    <t xml:space="preserve">parking.locatedInUlez</t>
  </si>
  <si>
    <t xml:space="preserve">A1.6.2</t>
  </si>
  <si>
    <t xml:space="preserve">Is the property in a low or ultra-low emission zone</t>
  </si>
  <si>
    <t xml:space="preserve">parking.vehicleTypeRestriction</t>
  </si>
  <si>
    <t xml:space="preserve">A1.6.0.3</t>
  </si>
  <si>
    <t xml:space="preserve">Any restrictions on the type of vehicle that can be parked (vans, caravans)</t>
  </si>
  <si>
    <t xml:space="preserve">specialistIssues.containsAsbestos</t>
  </si>
  <si>
    <t xml:space="preserve">A5.2</t>
  </si>
  <si>
    <t xml:space="preserve">Q62</t>
  </si>
  <si>
    <t xml:space="preserve">Does the property contain asbestos</t>
  </si>
  <si>
    <t xml:space="preserve">specialistIssues.dryRotEtcTreatment</t>
  </si>
  <si>
    <t xml:space="preserve">A5.1</t>
  </si>
  <si>
    <t xml:space="preserve">Any dry rot, wet rot or woodworm treatment</t>
  </si>
  <si>
    <t xml:space="preserve">specialistIssues.ongoingHealthOrSafetyIssue</t>
  </si>
  <si>
    <t xml:space="preserve">A5.5</t>
  </si>
  <si>
    <t xml:space="preserve">Any ongoing health or safety issue at the property</t>
  </si>
  <si>
    <t xml:space="preserve">specialistIssues.subsidenceOrStructuralFault</t>
  </si>
  <si>
    <t xml:space="preserve">A5.4</t>
  </si>
  <si>
    <t xml:space="preserve">Any subsidence, heave or structural fault</t>
  </si>
  <si>
    <t xml:space="preserve">typeOfConstruction.accessibilityAndAdaptations</t>
  </si>
  <si>
    <t xml:space="preserve">Accessibility features or adaptations (ramps, stairlift, level access)</t>
  </si>
  <si>
    <t xml:space="preserve">typeOfConstruction.isStandardForm</t>
  </si>
  <si>
    <t xml:space="preserve">A1.8.1</t>
  </si>
  <si>
    <t xml:space="preserve">Is the property of standard construction (brick or stone, tiled or slate roof)</t>
  </si>
  <si>
    <t xml:space="preserve">typeOfConstruction.sprayFoamInsulation</t>
  </si>
  <si>
    <t xml:space="preserve">A1.8.4</t>
  </si>
  <si>
    <t xml:space="preserve">Is there spray foam insulation in the roof</t>
  </si>
  <si>
    <t xml:space="preserve">completionAndMoving.digitalPropertyLogbook</t>
  </si>
  <si>
    <t xml:space="preserve">B7.5</t>
  </si>
  <si>
    <t xml:space="preserve">Part B (legal)</t>
  </si>
  <si>
    <t xml:space="preserve">Q118</t>
  </si>
  <si>
    <t xml:space="preserve">Is there a digital property logbook (UMU can answer Yes automatically)</t>
  </si>
  <si>
    <t xml:space="preserve">confirmationOfAccuracyByOwners</t>
  </si>
  <si>
    <t xml:space="preserve">B8</t>
  </si>
  <si>
    <t xml:space="preserve">All owners confirm the answers are correct</t>
  </si>
  <si>
    <t xml:space="preserve">guaranteesWarrantiesAndIndemnityInsurances.otherGuarantees</t>
  </si>
  <si>
    <t xml:space="preserve">B5.1.10</t>
  </si>
  <si>
    <t xml:space="preserve">5.1i</t>
  </si>
  <si>
    <t xml:space="preserve">Q45</t>
  </si>
  <si>
    <t xml:space="preserve">Any other guarantees not already listed</t>
  </si>
  <si>
    <t xml:space="preserve">guaranteesWarrantiesAndIndemnityInsurances.solarPanels</t>
  </si>
  <si>
    <t xml:space="preserve">B5.1.9</t>
  </si>
  <si>
    <t xml:space="preserve">Solar panel guarantee or warranty</t>
  </si>
  <si>
    <t xml:space="preserve">guaranteesWarrantiesAndIndemnityInsurances.titleDefectInsurance</t>
  </si>
  <si>
    <t xml:space="preserve">B5.3</t>
  </si>
  <si>
    <t xml:space="preserve">Any indemnity insurance policies (for example missing building regs)</t>
  </si>
  <si>
    <t xml:space="preserve">heating.heatingSystem.centralHeatingDetails.centralHeatingFuel.gasMeter</t>
  </si>
  <si>
    <t xml:space="preserve">B4.5</t>
  </si>
  <si>
    <t xml:space="preserve">13.2c</t>
  </si>
  <si>
    <t xml:space="preserve">Q107 (follow-up)</t>
  </si>
  <si>
    <t xml:space="preserve">Where is the gas meter</t>
  </si>
  <si>
    <t xml:space="preserve">smartHomeSystems</t>
  </si>
  <si>
    <t xml:space="preserve">B7.4</t>
  </si>
  <si>
    <t xml:space="preserve">Smart home systems (heating, security, entertainment) and handover of logins</t>
  </si>
  <si>
    <t xml:space="preserve">ownership.ownershipsToBeTransferred[].leaseholdInformation.serviceCharge.reserveFund</t>
  </si>
  <si>
    <t xml:space="preserve">1.5.2.1</t>
  </si>
  <si>
    <t xml:space="preserve">Possibly covered by UMU Q12 follow-ups; confirm</t>
  </si>
  <si>
    <t xml:space="preserve">Q245</t>
  </si>
  <si>
    <t xml:space="preserve">Is there a reserve (sinking) fund, and how much is in it</t>
  </si>
  <si>
    <t xml:space="preserve">connectivity.cableSatelliteTV</t>
  </si>
  <si>
    <t xml:space="preserve">A7.1.0.6</t>
  </si>
  <si>
    <t xml:space="preserve">Possibly covered by UMU Q212/214 (fittings only) follow-ups; confirm</t>
  </si>
  <si>
    <t xml:space="preserve">Cable or satellite TV connection</t>
  </si>
  <si>
    <t xml:space="preserve">energyEfficiency.certificate.currentEnergyRating</t>
  </si>
  <si>
    <t xml:space="preserve">A1.8.3.1.1</t>
  </si>
  <si>
    <t xml:space="preserve">Auto from EPC register</t>
  </si>
  <si>
    <t xml:space="preserve">Q60 (automatic)</t>
  </si>
  <si>
    <t xml:space="preserve">EPC rating, pulled from the EPC register</t>
  </si>
  <si>
    <t xml:space="preserve">heating.heatingSystem.centralHeatingDetails.boilerInstallationCertificate</t>
  </si>
  <si>
    <t xml:space="preserve">A7.4.1.1</t>
  </si>
  <si>
    <t xml:space="preserve">12.3b2</t>
  </si>
  <si>
    <t xml:space="preserve">Possibly covered by UMU Q93 follow-ups; confirm</t>
  </si>
  <si>
    <t xml:space="preserve">Q93 (follow-up)</t>
  </si>
  <si>
    <t xml:space="preserve">Boiler installation certificate</t>
  </si>
  <si>
    <t xml:space="preserve">heating.heatingSystem.centralHeatingDetails.heatingLastServicedReport</t>
  </si>
  <si>
    <t xml:space="preserve">A7.4.2.2</t>
  </si>
  <si>
    <t xml:space="preserve">12.3d2</t>
  </si>
  <si>
    <t xml:space="preserve">Possibly covered by UMU Q95 follow-ups; confirm</t>
  </si>
  <si>
    <t xml:space="preserve">Q95 (follow-up)</t>
  </si>
  <si>
    <t xml:space="preserve">Latest heating service report</t>
  </si>
  <si>
    <t xml:space="preserve">legalBoundaries.boundariesDifferFromTitlePlan</t>
  </si>
  <si>
    <t xml:space="preserve">A9.3</t>
  </si>
  <si>
    <t xml:space="preserve">Possibly covered by UMU Q16 follow-ups; confirm</t>
  </si>
  <si>
    <t xml:space="preserve">Q16 (follow-up)</t>
  </si>
  <si>
    <t xml:space="preserve">Do the boundaries differ from the title plan (built into the Q16 Yes branch)</t>
  </si>
  <si>
    <t xml:space="preserve">ownership.ownershipsToBeTransferred[].leaseholdInformation.groundRent.annualGroundRent</t>
  </si>
  <si>
    <t xml:space="preserve">A1.4.2.2</t>
  </si>
  <si>
    <t xml:space="preserve">1.2a</t>
  </si>
  <si>
    <t xml:space="preserve">Possibly covered by UMU Q10 follow-ups; confirm</t>
  </si>
  <si>
    <t xml:space="preserve">Q10 (follow-up)</t>
  </si>
  <si>
    <t xml:space="preserve">Annual ground rent amount</t>
  </si>
  <si>
    <t xml:space="preserve">ownership.ownershipsToBeTransferred[].otherOwnershipDetails</t>
  </si>
  <si>
    <t xml:space="preserve">A1.3.2</t>
  </si>
  <si>
    <t xml:space="preserve">Possibly covered by UMU Q8 follow-ups; confirm</t>
  </si>
  <si>
    <t xml:space="preserve">Q8 (follow-up)</t>
  </si>
  <si>
    <t xml:space="preserve">Details for "other" ownership types</t>
  </si>
  <si>
    <t xml:space="preserve">ownership.ownershipsToBeTransferred[].titleNumber</t>
  </si>
  <si>
    <t xml:space="preserve">A1.3.0.1</t>
  </si>
  <si>
    <t xml:space="preserve">Auto from HMLR data</t>
  </si>
  <si>
    <t xml:space="preserve">Title number, pulled from HM Land Registry</t>
  </si>
  <si>
    <t xml:space="preserve">uprn</t>
  </si>
  <si>
    <t xml:space="preserve">A1.1.5</t>
  </si>
  <si>
    <t xml:space="preserve">Auto from address data</t>
  </si>
  <si>
    <t xml:space="preserve">Unique property reference number, from the address lookup</t>
  </si>
  <si>
    <t xml:space="preserve">guaranteesWarrantiesAndIndemnityInsurances.hasValidGuaranteesOrWarranties</t>
  </si>
  <si>
    <t xml:space="preserve">B5.1</t>
  </si>
  <si>
    <t xml:space="preserve">Possibly covered by UMU Q38-45 follow-ups; confirm</t>
  </si>
  <si>
    <t xml:space="preserve">Start of section</t>
  </si>
  <si>
    <t xml:space="preserve">Umbrella: are there any guarantees at all (can gate Q38 to Q45)</t>
  </si>
  <si>
    <t xml:space="preserve">guaranteesWarrantiesAndIndemnityInsurances.outstandingClaimsOrApplications</t>
  </si>
  <si>
    <t xml:space="preserve">B5.2</t>
  </si>
  <si>
    <t xml:space="preserve">Possibly covered by UMU Q38-42 follow-ups; confirm</t>
  </si>
  <si>
    <t xml:space="preserve">Any claims made or outstanding under a guarantee</t>
  </si>
  <si>
    <t xml:space="preserve">occupiers.othersAged17OrOver.aged17OrOverNames</t>
  </si>
  <si>
    <t xml:space="preserve">B6.2.2</t>
  </si>
  <si>
    <t xml:space="preserve">Possibly covered by UMU Q83 follow-ups; confirm</t>
  </si>
  <si>
    <t xml:space="preserve">Q83 (follow-up)</t>
  </si>
  <si>
    <t xml:space="preserve">Names of other adult occupiers</t>
  </si>
  <si>
    <t xml:space="preserve">occupiers.othersAged17OrOver.vacantPossession.aged17OrOverAgreedToLeave</t>
  </si>
  <si>
    <t xml:space="preserve">B6.3.1</t>
  </si>
  <si>
    <t xml:space="preserve">11.5a</t>
  </si>
  <si>
    <t xml:space="preserve">Possibly covered by UMU Q86 follow-ups; confirm</t>
  </si>
  <si>
    <t xml:space="preserve">Q86 (follow-up)</t>
  </si>
  <si>
    <t xml:space="preserve">Have other adult occupiers agreed to leave</t>
  </si>
  <si>
    <t xml:space="preserve">occupiers.othersAged17OrOver.vacantPossession.aged17OrOverWillSignToConfirmWillVacate</t>
  </si>
  <si>
    <t xml:space="preserve">B6.3.2</t>
  </si>
  <si>
    <t xml:space="preserve">11.5b</t>
  </si>
  <si>
    <t xml:space="preserve">Possibly covered by UMU Q87 follow-ups; confirm</t>
  </si>
  <si>
    <t xml:space="preserve">Q87 (follow-up)</t>
  </si>
  <si>
    <t xml:space="preserve">Will they sign the contract to confirm</t>
  </si>
  <si>
    <t xml:space="preserve">Question no. in section</t>
  </si>
  <si>
    <t xml:space="preserve">Overall no.</t>
  </si>
  <si>
    <t xml:space="preserve">Issue</t>
  </si>
  <si>
    <t xml:space="preserve">Same wording as Rights and Informal Arrangements Q6 (duplicate). Suggest rewording to cover this property's services crossing neighbouring land.</t>
  </si>
  <si>
    <t xml:space="preserve">Overlaps Services Q9.</t>
  </si>
  <si>
    <t xml:space="preserve">Leasehold Q5 and Leasehold Q6 ask the same thing as two yes/no questions; merge into one choice.</t>
  </si>
  <si>
    <t xml:space="preserve">Helper text is about septic tanks; wrong question.</t>
  </si>
  <si>
    <t xml:space="preserve">Helper text refers to share certificate; wrong question.</t>
  </si>
  <si>
    <t xml:space="preserve">Duplicate of Leasehold Q27.</t>
  </si>
  <si>
    <t xml:space="preserve">Helper text is about warranties; wrong question.</t>
  </si>
  <si>
    <t xml:space="preserve">Helper text is about vacant possession and follow-up is about complaints; both wrong.</t>
  </si>
  <si>
    <t xml:space="preserve">Answer format is a leaseholder choice; should be a document upload.</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</si>
</sst>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b val="true"/>
      <sz val="10"/>
      <name val="Arial"/>
      <family val="0"/>
      <charset val="1"/>
    </font>
    <font>
      <b val="true"/>
      <sz val="12"/>
      <name val="Arial"/>
      <family val="0"/>
      <charset val="1"/>
    </font>
    <font>
      <i val="true"/>
      <sz val="9"/>
      <name val="Arial"/>
      <family val="0"/>
      <charset val="1"/>
    </font>
    <font>
      <i val="true"/>
      <sz val="10"/>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FCE4D6"/>
      </patternFill>
    </fill>
    <fill>
      <patternFill patternType="solid">
        <fgColor rgb="FFDDEBF7"/>
        <bgColor rgb="FFEDEDED"/>
      </patternFill>
    </fill>
    <fill>
      <patternFill patternType="solid">
        <fgColor rgb="FFEDEDED"/>
        <bgColor rgb="FFF2F2F2"/>
      </patternFill>
    </fill>
    <fill>
      <patternFill patternType="solid">
        <fgColor rgb="FFFCE4D6"/>
        <bgColor rgb="FFFFF2CC"/>
      </patternFill>
    </fill>
    <fill>
      <patternFill patternType="solid">
        <fgColor rgb="FFF2F2F2"/>
        <bgColor rgb="FFEDEDED"/>
      </patternFill>
    </fill>
    <fill>
      <patternFill patternType="solid">
        <fgColor rgb="FFF8CBAD"/>
        <bgColor rgb="FFFCE4D6"/>
      </patternFill>
    </fill>
    <fill>
      <patternFill patternType="solid">
        <fgColor rgb="FFFFFF00"/>
        <bgColor rgb="FFFFFF00"/>
      </patternFill>
    </fill>
  </fills>
  <borders count="3">
    <border diagonalUp="false" diagonalDown="false">
      <left/>
      <right/>
      <top/>
      <bottom/>
      <diagonal/>
    </border>
    <border diagonalUp="false" diagonalDown="false">
      <left/>
      <right/>
      <top/>
      <bottom style="thin">
        <color rgb="FFD9D9D9"/>
      </bottom>
      <diagonal/>
    </border>
    <border diagonalUp="false" diagonalDown="false">
      <left/>
      <right/>
      <top style="medium">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5" fillId="4" borderId="2" xfId="0" applyFont="true" applyBorder="true" applyAlignment="true" applyProtection="false">
      <alignment horizontal="general"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00"/>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DEDED"/>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80"/>
  </cols>
  <sheetData>
    <row r="1" customFormat="false" ht="17.25" hidden="false" customHeight="true" outlineLevel="0" collapsed="false">
      <c r="A1" s="2" t="s">
        <v>0</v>
      </c>
    </row>
    <row r="2" customFormat="false" ht="45" hidden="false" customHeight="true" outlineLevel="0" collapsed="false">
      <c r="A2" s="3" t="s">
        <v>1</v>
      </c>
      <c r="B2" s="3"/>
      <c r="C2" s="3"/>
    </row>
    <row r="4" customFormat="false" ht="15" hidden="false" customHeight="true" outlineLevel="0" collapsed="false">
      <c r="A4" s="4" t="s">
        <v>2</v>
      </c>
      <c r="B4" s="4" t="s">
        <v>3</v>
      </c>
      <c r="C4" s="4" t="s">
        <v>4</v>
      </c>
    </row>
    <row r="5" customFormat="false" ht="15" hidden="false" customHeight="true" outlineLevel="0" collapsed="false">
      <c r="A5" s="5" t="s">
        <v>5</v>
      </c>
      <c r="B5" s="6" t="n">
        <f aca="false">COUNTIF(Mapping!E:E,"In BASPI")</f>
        <v>98</v>
      </c>
      <c r="C5" s="6" t="s">
        <v>6</v>
      </c>
    </row>
    <row r="6" customFormat="false" ht="15" hidden="false" customHeight="true" outlineLevel="0" collapsed="false">
      <c r="A6" s="7" t="s">
        <v>7</v>
      </c>
      <c r="B6" s="6" t="n">
        <f aca="false">COUNTIF(Mapping!E:E,"In BASPI (partial)")</f>
        <v>15</v>
      </c>
      <c r="C6" s="6" t="s">
        <v>8</v>
      </c>
    </row>
    <row r="7" customFormat="false" ht="15" hidden="false" customHeight="true" outlineLevel="0" collapsed="false">
      <c r="A7" s="8" t="s">
        <v>9</v>
      </c>
      <c r="B7" s="6" t="n">
        <f aca="false">COUNTIF(Mapping!E:E,"TA form only")</f>
        <v>141</v>
      </c>
      <c r="C7" s="6" t="s">
        <v>10</v>
      </c>
    </row>
    <row r="8" customFormat="false" ht="15" hidden="false" customHeight="true" outlineLevel="0" collapsed="false">
      <c r="A8" s="8" t="s">
        <v>11</v>
      </c>
      <c r="B8" s="6" t="n">
        <f aca="false">COUNTIF(Mapping!E:E,"TA form only (partial)")</f>
        <v>0</v>
      </c>
      <c r="C8" s="6" t="s">
        <v>12</v>
      </c>
    </row>
    <row r="9" customFormat="false" ht="15" hidden="false" customHeight="true" outlineLevel="0" collapsed="false">
      <c r="A9" s="9" t="s">
        <v>13</v>
      </c>
      <c r="B9" s="6" t="n">
        <f aca="false">COUNTIF(Mapping!E:E,"PDTF data only")</f>
        <v>4</v>
      </c>
      <c r="C9" s="6" t="s">
        <v>14</v>
      </c>
    </row>
    <row r="10" customFormat="false" ht="15" hidden="false" customHeight="true" outlineLevel="0" collapsed="false">
      <c r="A10" s="9" t="s">
        <v>15</v>
      </c>
      <c r="B10" s="6" t="n">
        <f aca="false">COUNTIF(Mapping!E:E,"Search / HMLR data")</f>
        <v>8</v>
      </c>
      <c r="C10" s="6" t="s">
        <v>16</v>
      </c>
    </row>
    <row r="11" customFormat="false" ht="15" hidden="false" customHeight="true" outlineLevel="0" collapsed="false">
      <c r="A11" s="10" t="s">
        <v>17</v>
      </c>
      <c r="B11" s="6" t="n">
        <f aca="false">COUNTIF(Mapping!E:E,"UMU only")</f>
        <v>1</v>
      </c>
      <c r="C11" s="6" t="s">
        <v>18</v>
      </c>
    </row>
    <row r="12" customFormat="false" ht="15" hidden="false" customHeight="true" outlineLevel="0" collapsed="false">
      <c r="A12" s="11" t="s">
        <v>19</v>
      </c>
      <c r="B12" s="6" t="n">
        <f aca="false">COUNTIF(Mapping!E:E,"Info note")</f>
        <v>11</v>
      </c>
      <c r="C12" s="6" t="s">
        <v>20</v>
      </c>
    </row>
    <row r="13" customFormat="false" ht="15" hidden="false" customHeight="true" outlineLevel="0" collapsed="false">
      <c r="A13" s="12" t="s">
        <v>21</v>
      </c>
      <c r="B13" s="12" t="n">
        <f aca="false">SUM(B5:B12)</f>
        <v>278</v>
      </c>
    </row>
    <row r="15" customFormat="false" ht="15" hidden="false" customHeight="true" outlineLevel="0" collapsed="false">
      <c r="A15" s="13" t="s">
        <v>22</v>
      </c>
    </row>
    <row r="16" customFormat="false" ht="31.5" hidden="false" customHeight="true" outlineLevel="0" collapsed="false">
      <c r="A16" s="14" t="s">
        <v>23</v>
      </c>
      <c r="B16" s="14"/>
      <c r="C16" s="14"/>
    </row>
    <row r="17" customFormat="false" ht="31.5" hidden="false" customHeight="true" outlineLevel="0" collapsed="false">
      <c r="A17" s="14" t="s">
        <v>24</v>
      </c>
      <c r="B17" s="14"/>
      <c r="C17" s="14"/>
    </row>
    <row r="18" customFormat="false" ht="31.5" hidden="false" customHeight="true" outlineLevel="0" collapsed="false">
      <c r="A18" s="14" t="s">
        <v>25</v>
      </c>
      <c r="B18" s="14"/>
      <c r="C18" s="14"/>
    </row>
    <row r="19" customFormat="false" ht="31.5" hidden="false" customHeight="true" outlineLevel="0" collapsed="false">
      <c r="A19" s="14" t="s">
        <v>26</v>
      </c>
      <c r="B19" s="14"/>
      <c r="C19" s="14"/>
    </row>
    <row r="20" customFormat="false" ht="31.5" hidden="false" customHeight="true" outlineLevel="0" collapsed="false">
      <c r="A20" s="14" t="s">
        <v>27</v>
      </c>
      <c r="B20" s="14"/>
      <c r="C20" s="14"/>
    </row>
    <row r="21" customFormat="false" ht="31.5" hidden="false" customHeight="true" outlineLevel="0" collapsed="false">
      <c r="A21" s="14" t="s">
        <v>28</v>
      </c>
      <c r="B21" s="14"/>
      <c r="C21" s="14"/>
    </row>
    <row r="22" customFormat="false" ht="31.5" hidden="false" customHeight="true" outlineLevel="0" collapsed="false">
      <c r="A22" s="14" t="s">
        <v>29</v>
      </c>
      <c r="B22" s="14"/>
      <c r="C22" s="14"/>
    </row>
    <row r="24" customFormat="false" ht="30" hidden="false" customHeight="true" outlineLevel="0" collapsed="false">
      <c r="A24" s="15" t="s">
        <v>30</v>
      </c>
      <c r="B24" s="15"/>
      <c r="C24" s="15"/>
    </row>
    <row r="26" customFormat="false" ht="15" hidden="false" customHeight="true" outlineLevel="0" collapsed="false">
      <c r="A26" s="13" t="s">
        <v>31</v>
      </c>
    </row>
    <row r="27" customFormat="false" ht="15" hidden="false" customHeight="true" outlineLevel="0" collapsed="false">
      <c r="A27" s="4" t="s">
        <v>32</v>
      </c>
      <c r="B27" s="4" t="s">
        <v>3</v>
      </c>
      <c r="C27" s="4" t="s">
        <v>33</v>
      </c>
    </row>
    <row r="28" customFormat="false" ht="15" hidden="false" customHeight="true" outlineLevel="0" collapsed="false">
      <c r="A28" s="5" t="s">
        <v>34</v>
      </c>
      <c r="B28" s="6" t="n">
        <f aca="false">COUNTIF('Branch logic'!I:I,"1 Self-serve")</f>
        <v>140</v>
      </c>
      <c r="C28" s="6" t="s">
        <v>35</v>
      </c>
    </row>
    <row r="29" customFormat="false" ht="15" hidden="false" customHeight="true" outlineLevel="0" collapsed="false">
      <c r="A29" s="8" t="s">
        <v>36</v>
      </c>
      <c r="B29" s="6" t="n">
        <f aca="false">COUNTIF('Branch logic'!I:I,"2 Self-serve: fetch document")</f>
        <v>59</v>
      </c>
      <c r="C29" s="6" t="s">
        <v>37</v>
      </c>
    </row>
    <row r="30" customFormat="false" ht="15" hidden="false" customHeight="true" outlineLevel="0" collapsed="false">
      <c r="A30" s="7" t="s">
        <v>38</v>
      </c>
      <c r="B30" s="6" t="n">
        <f aca="false">COUNTIF('Branch logic'!I:I,"3 Prepare, then flag")</f>
        <v>67</v>
      </c>
      <c r="C30" s="6" t="s">
        <v>39</v>
      </c>
    </row>
    <row r="31" customFormat="false" ht="15" hidden="false" customHeight="true" outlineLevel="0" collapsed="false">
      <c r="A31" s="16" t="s">
        <v>40</v>
      </c>
      <c r="B31" s="6" t="n">
        <f aca="false">COUNTIF('Branch logic'!I:I,"4 Escalate to conveyancer")</f>
        <v>0</v>
      </c>
      <c r="C31" s="6" t="s">
        <v>41</v>
      </c>
    </row>
  </sheetData>
  <mergeCells count="9">
    <mergeCell ref="A2:C2"/>
    <mergeCell ref="A16:C16"/>
    <mergeCell ref="A17:C17"/>
    <mergeCell ref="A18:C18"/>
    <mergeCell ref="A19:C19"/>
    <mergeCell ref="A20:C20"/>
    <mergeCell ref="A21:C21"/>
    <mergeCell ref="A22:C22"/>
    <mergeCell ref="A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22"/>
    <col collapsed="false" customWidth="true" hidden="false" outlineLevel="0" max="4" min="4" style="1" width="55"/>
    <col collapsed="false" customWidth="true" hidden="false" outlineLevel="0" max="5" min="5" style="1" width="20"/>
    <col collapsed="false" customWidth="true" hidden="false" outlineLevel="0" max="6" min="6" style="1" width="48"/>
    <col collapsed="false" customWidth="true" hidden="false" outlineLevel="0" max="7" min="7" style="1" width="12"/>
    <col collapsed="false" customWidth="true" hidden="false" outlineLevel="0" max="10" min="8" style="1" width="9"/>
    <col collapsed="false" customWidth="true" hidden="false" outlineLevel="0" max="11" min="11" style="1" width="55"/>
  </cols>
  <sheetData>
    <row r="1" customFormat="false" ht="26.25" hidden="false" customHeight="true" outlineLevel="0" collapsed="false">
      <c r="A1" s="17" t="s">
        <v>42</v>
      </c>
      <c r="B1" s="17" t="s">
        <v>43</v>
      </c>
      <c r="C1" s="17" t="s">
        <v>44</v>
      </c>
      <c r="D1" s="17" t="s">
        <v>45</v>
      </c>
      <c r="E1" s="17" t="s">
        <v>2</v>
      </c>
      <c r="F1" s="17" t="s">
        <v>46</v>
      </c>
      <c r="G1" s="17" t="s">
        <v>47</v>
      </c>
      <c r="H1" s="17" t="s">
        <v>48</v>
      </c>
      <c r="I1" s="17" t="s">
        <v>49</v>
      </c>
      <c r="J1" s="17" t="s">
        <v>50</v>
      </c>
      <c r="K1" s="17" t="s">
        <v>51</v>
      </c>
    </row>
    <row r="2" customFormat="false" ht="15" hidden="false" customHeight="true" outlineLevel="0" collapsed="false">
      <c r="A2" s="18" t="n">
        <v>1</v>
      </c>
      <c r="B2" s="18" t="s">
        <v>52</v>
      </c>
      <c r="C2" s="18" t="s">
        <v>51</v>
      </c>
      <c r="D2" s="18" t="s">
        <v>53</v>
      </c>
      <c r="E2" s="19" t="s">
        <v>19</v>
      </c>
      <c r="F2" s="18"/>
      <c r="G2" s="18"/>
      <c r="H2" s="18"/>
      <c r="I2" s="18"/>
      <c r="J2" s="18"/>
      <c r="K2" s="18" t="s">
        <v>54</v>
      </c>
    </row>
    <row r="3" customFormat="false" ht="23.25" hidden="false" customHeight="true" outlineLevel="0" collapsed="false">
      <c r="A3" s="18" t="n">
        <v>2</v>
      </c>
      <c r="B3" s="18" t="s">
        <v>52</v>
      </c>
      <c r="C3" s="18" t="s">
        <v>55</v>
      </c>
      <c r="D3" s="18" t="s">
        <v>56</v>
      </c>
      <c r="E3" s="20" t="s">
        <v>5</v>
      </c>
      <c r="F3" s="18" t="s">
        <v>57</v>
      </c>
      <c r="G3" s="18" t="s">
        <v>58</v>
      </c>
      <c r="H3" s="18" t="s">
        <v>59</v>
      </c>
      <c r="I3" s="18" t="s">
        <v>59</v>
      </c>
      <c r="J3" s="18" t="s">
        <v>59</v>
      </c>
      <c r="K3" s="18"/>
    </row>
    <row r="4" customFormat="false" ht="23.25" hidden="false" customHeight="true" outlineLevel="0" collapsed="false">
      <c r="A4" s="18" t="n">
        <v>3</v>
      </c>
      <c r="B4" s="18" t="s">
        <v>52</v>
      </c>
      <c r="C4" s="18" t="s">
        <v>55</v>
      </c>
      <c r="D4" s="18" t="s">
        <v>60</v>
      </c>
      <c r="E4" s="20" t="s">
        <v>5</v>
      </c>
      <c r="F4" s="18" t="s">
        <v>61</v>
      </c>
      <c r="G4" s="18" t="s">
        <v>62</v>
      </c>
      <c r="H4" s="18"/>
      <c r="I4" s="18"/>
      <c r="J4" s="18"/>
      <c r="K4" s="18" t="s">
        <v>63</v>
      </c>
    </row>
    <row r="5" customFormat="false" ht="23.25" hidden="false" customHeight="true" outlineLevel="0" collapsed="false">
      <c r="A5" s="18" t="n">
        <v>4</v>
      </c>
      <c r="B5" s="18" t="s">
        <v>52</v>
      </c>
      <c r="C5" s="18" t="s">
        <v>64</v>
      </c>
      <c r="D5" s="18" t="s">
        <v>65</v>
      </c>
      <c r="E5" s="21" t="s">
        <v>13</v>
      </c>
      <c r="F5" s="18" t="s">
        <v>66</v>
      </c>
      <c r="G5" s="18"/>
      <c r="H5" s="18"/>
      <c r="I5" s="18"/>
      <c r="J5" s="18"/>
      <c r="K5" s="18" t="s">
        <v>67</v>
      </c>
    </row>
    <row r="6" customFormat="false" ht="23.25" hidden="false" customHeight="true" outlineLevel="0" collapsed="false">
      <c r="A6" s="18" t="n">
        <v>5</v>
      </c>
      <c r="B6" s="18" t="s">
        <v>52</v>
      </c>
      <c r="C6" s="18" t="s">
        <v>68</v>
      </c>
      <c r="D6" s="18" t="s">
        <v>69</v>
      </c>
      <c r="E6" s="22" t="s">
        <v>17</v>
      </c>
      <c r="F6" s="18"/>
      <c r="G6" s="18"/>
      <c r="H6" s="18"/>
      <c r="I6" s="18"/>
      <c r="J6" s="18"/>
      <c r="K6" s="18" t="s">
        <v>70</v>
      </c>
    </row>
    <row r="7" customFormat="false" ht="15" hidden="false" customHeight="true" outlineLevel="0" collapsed="false">
      <c r="A7" s="18" t="n">
        <v>6</v>
      </c>
      <c r="B7" s="18" t="s">
        <v>52</v>
      </c>
      <c r="C7" s="18" t="s">
        <v>68</v>
      </c>
      <c r="D7" s="18" t="s">
        <v>71</v>
      </c>
      <c r="E7" s="20" t="s">
        <v>5</v>
      </c>
      <c r="F7" s="18" t="s">
        <v>72</v>
      </c>
      <c r="G7" s="18" t="s">
        <v>73</v>
      </c>
      <c r="H7" s="18"/>
      <c r="I7" s="18"/>
      <c r="J7" s="18"/>
      <c r="K7" s="18"/>
    </row>
    <row r="8" customFormat="false" ht="15" hidden="false" customHeight="true" outlineLevel="0" collapsed="false">
      <c r="A8" s="18" t="n">
        <v>7</v>
      </c>
      <c r="B8" s="18" t="s">
        <v>52</v>
      </c>
      <c r="C8" s="18" t="s">
        <v>68</v>
      </c>
      <c r="D8" s="18" t="s">
        <v>74</v>
      </c>
      <c r="E8" s="21" t="s">
        <v>13</v>
      </c>
      <c r="F8" s="18" t="s">
        <v>75</v>
      </c>
      <c r="G8" s="18"/>
      <c r="H8" s="18"/>
      <c r="I8" s="18"/>
      <c r="J8" s="18"/>
      <c r="K8" s="18" t="s">
        <v>76</v>
      </c>
    </row>
    <row r="9" customFormat="false" ht="34.5" hidden="false" customHeight="true" outlineLevel="0" collapsed="false">
      <c r="A9" s="18" t="n">
        <v>8</v>
      </c>
      <c r="B9" s="18" t="s">
        <v>52</v>
      </c>
      <c r="C9" s="18" t="s">
        <v>68</v>
      </c>
      <c r="D9" s="18" t="s">
        <v>77</v>
      </c>
      <c r="E9" s="23" t="s">
        <v>7</v>
      </c>
      <c r="F9" s="18" t="s">
        <v>78</v>
      </c>
      <c r="G9" s="18" t="s">
        <v>79</v>
      </c>
      <c r="H9" s="18"/>
      <c r="I9" s="18" t="s">
        <v>80</v>
      </c>
      <c r="J9" s="18"/>
      <c r="K9" s="18" t="s">
        <v>81</v>
      </c>
    </row>
    <row r="10" customFormat="false" ht="23.25" hidden="false" customHeight="true" outlineLevel="0" collapsed="false">
      <c r="A10" s="18" t="n">
        <v>9</v>
      </c>
      <c r="B10" s="18" t="s">
        <v>52</v>
      </c>
      <c r="C10" s="18" t="s">
        <v>68</v>
      </c>
      <c r="D10" s="18" t="s">
        <v>82</v>
      </c>
      <c r="E10" s="20" t="s">
        <v>5</v>
      </c>
      <c r="F10" s="18" t="s">
        <v>83</v>
      </c>
      <c r="G10" s="18" t="s">
        <v>84</v>
      </c>
      <c r="H10" s="18"/>
      <c r="I10" s="18"/>
      <c r="J10" s="18"/>
      <c r="K10" s="18"/>
    </row>
    <row r="11" customFormat="false" ht="45.75" hidden="false" customHeight="true" outlineLevel="0" collapsed="false">
      <c r="A11" s="18" t="n">
        <v>10</v>
      </c>
      <c r="B11" s="18" t="s">
        <v>52</v>
      </c>
      <c r="C11" s="18" t="s">
        <v>68</v>
      </c>
      <c r="D11" s="18" t="s">
        <v>85</v>
      </c>
      <c r="E11" s="23" t="s">
        <v>7</v>
      </c>
      <c r="F11" s="18" t="s">
        <v>86</v>
      </c>
      <c r="G11" s="18" t="s">
        <v>87</v>
      </c>
      <c r="H11" s="18"/>
      <c r="I11" s="18"/>
      <c r="J11" s="18"/>
      <c r="K11" s="18" t="s">
        <v>88</v>
      </c>
    </row>
    <row r="12" customFormat="false" ht="23.25" hidden="false" customHeight="true" outlineLevel="0" collapsed="false">
      <c r="A12" s="18" t="n">
        <v>11</v>
      </c>
      <c r="B12" s="18" t="s">
        <v>52</v>
      </c>
      <c r="C12" s="18" t="s">
        <v>68</v>
      </c>
      <c r="D12" s="18" t="s">
        <v>89</v>
      </c>
      <c r="E12" s="23" t="s">
        <v>7</v>
      </c>
      <c r="F12" s="18" t="s">
        <v>90</v>
      </c>
      <c r="G12" s="18" t="s">
        <v>91</v>
      </c>
      <c r="H12" s="18"/>
      <c r="I12" s="18"/>
      <c r="J12" s="18"/>
      <c r="K12" s="18" t="s">
        <v>92</v>
      </c>
    </row>
    <row r="13" customFormat="false" ht="23.25" hidden="false" customHeight="true" outlineLevel="0" collapsed="false">
      <c r="A13" s="18" t="n">
        <v>12</v>
      </c>
      <c r="B13" s="18" t="s">
        <v>52</v>
      </c>
      <c r="C13" s="18" t="s">
        <v>68</v>
      </c>
      <c r="D13" s="18" t="s">
        <v>93</v>
      </c>
      <c r="E13" s="23" t="s">
        <v>7</v>
      </c>
      <c r="F13" s="18" t="s">
        <v>94</v>
      </c>
      <c r="G13" s="18" t="s">
        <v>95</v>
      </c>
      <c r="H13" s="18"/>
      <c r="I13" s="18"/>
      <c r="J13" s="18"/>
      <c r="K13" s="18" t="s">
        <v>96</v>
      </c>
    </row>
    <row r="14" customFormat="false" ht="23.25" hidden="false" customHeight="true" outlineLevel="0" collapsed="false">
      <c r="A14" s="18" t="n">
        <v>13</v>
      </c>
      <c r="B14" s="18" t="s">
        <v>52</v>
      </c>
      <c r="C14" s="18" t="s">
        <v>68</v>
      </c>
      <c r="D14" s="18" t="s">
        <v>97</v>
      </c>
      <c r="E14" s="20" t="s">
        <v>5</v>
      </c>
      <c r="F14" s="18" t="s">
        <v>98</v>
      </c>
      <c r="G14" s="18" t="s">
        <v>99</v>
      </c>
      <c r="H14" s="18"/>
      <c r="I14" s="18"/>
      <c r="J14" s="18"/>
      <c r="K14" s="18" t="s">
        <v>100</v>
      </c>
    </row>
    <row r="15" customFormat="false" ht="15" hidden="false" customHeight="true" outlineLevel="0" collapsed="false">
      <c r="A15" s="18" t="n">
        <v>14</v>
      </c>
      <c r="B15" s="18" t="s">
        <v>101</v>
      </c>
      <c r="C15" s="18" t="s">
        <v>51</v>
      </c>
      <c r="D15" s="18" t="s">
        <v>102</v>
      </c>
      <c r="E15" s="19" t="s">
        <v>19</v>
      </c>
      <c r="F15" s="18"/>
      <c r="G15" s="18"/>
      <c r="H15" s="18"/>
      <c r="I15" s="18"/>
      <c r="J15" s="18"/>
      <c r="K15" s="18" t="s">
        <v>54</v>
      </c>
    </row>
    <row r="16" customFormat="false" ht="34.5" hidden="false" customHeight="true" outlineLevel="0" collapsed="false">
      <c r="A16" s="18" t="n">
        <v>15</v>
      </c>
      <c r="B16" s="18" t="s">
        <v>101</v>
      </c>
      <c r="C16" s="18" t="s">
        <v>103</v>
      </c>
      <c r="D16" s="18" t="s">
        <v>104</v>
      </c>
      <c r="E16" s="20" t="s">
        <v>5</v>
      </c>
      <c r="F16" s="18" t="s">
        <v>105</v>
      </c>
      <c r="G16" s="18" t="s">
        <v>106</v>
      </c>
      <c r="H16" s="18" t="s">
        <v>80</v>
      </c>
      <c r="I16" s="18"/>
      <c r="J16" s="18"/>
      <c r="K16" s="18" t="s">
        <v>107</v>
      </c>
    </row>
    <row r="17" customFormat="false" ht="15" hidden="false" customHeight="true" outlineLevel="0" collapsed="false">
      <c r="A17" s="18" t="n">
        <v>16</v>
      </c>
      <c r="B17" s="18" t="s">
        <v>101</v>
      </c>
      <c r="C17" s="18" t="s">
        <v>108</v>
      </c>
      <c r="D17" s="18" t="s">
        <v>109</v>
      </c>
      <c r="E17" s="20" t="s">
        <v>5</v>
      </c>
      <c r="F17" s="18" t="s">
        <v>110</v>
      </c>
      <c r="G17" s="18" t="s">
        <v>111</v>
      </c>
      <c r="H17" s="18" t="s">
        <v>112</v>
      </c>
      <c r="I17" s="18"/>
      <c r="J17" s="18"/>
      <c r="K17" s="18" t="s">
        <v>113</v>
      </c>
    </row>
    <row r="18" customFormat="false" ht="34.5" hidden="false" customHeight="true" outlineLevel="0" collapsed="false">
      <c r="A18" s="18" t="n">
        <v>17</v>
      </c>
      <c r="B18" s="18" t="s">
        <v>101</v>
      </c>
      <c r="C18" s="18" t="s">
        <v>114</v>
      </c>
      <c r="D18" s="18" t="s">
        <v>115</v>
      </c>
      <c r="E18" s="23" t="s">
        <v>7</v>
      </c>
      <c r="F18" s="18" t="s">
        <v>116</v>
      </c>
      <c r="G18" s="18" t="s">
        <v>117</v>
      </c>
      <c r="H18" s="18" t="s">
        <v>118</v>
      </c>
      <c r="I18" s="18"/>
      <c r="J18" s="18"/>
      <c r="K18" s="18" t="s">
        <v>119</v>
      </c>
    </row>
    <row r="19" customFormat="false" ht="23.25" hidden="false" customHeight="true" outlineLevel="0" collapsed="false">
      <c r="A19" s="18" t="n">
        <v>18</v>
      </c>
      <c r="B19" s="18" t="s">
        <v>101</v>
      </c>
      <c r="C19" s="18" t="s">
        <v>120</v>
      </c>
      <c r="D19" s="18" t="s">
        <v>121</v>
      </c>
      <c r="E19" s="20" t="s">
        <v>5</v>
      </c>
      <c r="F19" s="18" t="s">
        <v>122</v>
      </c>
      <c r="G19" s="18" t="s">
        <v>123</v>
      </c>
      <c r="H19" s="18" t="s">
        <v>124</v>
      </c>
      <c r="I19" s="18"/>
      <c r="J19" s="18"/>
      <c r="K19" s="18"/>
    </row>
    <row r="20" customFormat="false" ht="34.5" hidden="false" customHeight="true" outlineLevel="0" collapsed="false">
      <c r="A20" s="18" t="n">
        <v>19</v>
      </c>
      <c r="B20" s="18" t="s">
        <v>101</v>
      </c>
      <c r="C20" s="18" t="s">
        <v>125</v>
      </c>
      <c r="D20" s="18" t="s">
        <v>126</v>
      </c>
      <c r="E20" s="23" t="s">
        <v>7</v>
      </c>
      <c r="F20" s="18" t="s">
        <v>127</v>
      </c>
      <c r="G20" s="18" t="s">
        <v>128</v>
      </c>
      <c r="H20" s="18" t="s">
        <v>129</v>
      </c>
      <c r="I20" s="18"/>
      <c r="J20" s="18"/>
      <c r="K20" s="18" t="s">
        <v>130</v>
      </c>
    </row>
    <row r="21" customFormat="false" ht="23.25" hidden="false" customHeight="true" outlineLevel="0" collapsed="false">
      <c r="A21" s="18" t="n">
        <v>20</v>
      </c>
      <c r="B21" s="18" t="s">
        <v>101</v>
      </c>
      <c r="C21" s="18" t="s">
        <v>131</v>
      </c>
      <c r="D21" s="18" t="s">
        <v>132</v>
      </c>
      <c r="E21" s="20" t="s">
        <v>5</v>
      </c>
      <c r="F21" s="18" t="s">
        <v>133</v>
      </c>
      <c r="G21" s="18" t="s">
        <v>134</v>
      </c>
      <c r="H21" s="18" t="s">
        <v>135</v>
      </c>
      <c r="I21" s="18"/>
      <c r="J21" s="18"/>
      <c r="K21" s="18"/>
    </row>
    <row r="22" customFormat="false" ht="23.25" hidden="false" customHeight="true" outlineLevel="0" collapsed="false">
      <c r="A22" s="18" t="n">
        <v>21</v>
      </c>
      <c r="B22" s="18" t="s">
        <v>136</v>
      </c>
      <c r="C22" s="18" t="s">
        <v>137</v>
      </c>
      <c r="D22" s="18" t="s">
        <v>138</v>
      </c>
      <c r="E22" s="20" t="s">
        <v>5</v>
      </c>
      <c r="F22" s="18" t="s">
        <v>139</v>
      </c>
      <c r="G22" s="18" t="s">
        <v>140</v>
      </c>
      <c r="H22" s="18" t="s">
        <v>141</v>
      </c>
      <c r="I22" s="18"/>
      <c r="J22" s="18"/>
      <c r="K22" s="18"/>
    </row>
    <row r="23" customFormat="false" ht="23.25" hidden="false" customHeight="true" outlineLevel="0" collapsed="false">
      <c r="A23" s="18" t="n">
        <v>22</v>
      </c>
      <c r="B23" s="18" t="s">
        <v>136</v>
      </c>
      <c r="C23" s="18" t="s">
        <v>142</v>
      </c>
      <c r="D23" s="18" t="s">
        <v>143</v>
      </c>
      <c r="E23" s="20" t="s">
        <v>5</v>
      </c>
      <c r="F23" s="18" t="s">
        <v>144</v>
      </c>
      <c r="G23" s="18" t="s">
        <v>145</v>
      </c>
      <c r="H23" s="18" t="s">
        <v>146</v>
      </c>
      <c r="I23" s="18"/>
      <c r="J23" s="18"/>
      <c r="K23" s="18"/>
    </row>
    <row r="24" customFormat="false" ht="45.75" hidden="false" customHeight="true" outlineLevel="0" collapsed="false">
      <c r="A24" s="18" t="n">
        <v>23</v>
      </c>
      <c r="B24" s="18" t="s">
        <v>147</v>
      </c>
      <c r="C24" s="18" t="s">
        <v>148</v>
      </c>
      <c r="D24" s="18" t="s">
        <v>149</v>
      </c>
      <c r="E24" s="23" t="s">
        <v>7</v>
      </c>
      <c r="F24" s="18" t="s">
        <v>150</v>
      </c>
      <c r="G24" s="18" t="s">
        <v>151</v>
      </c>
      <c r="H24" s="18" t="s">
        <v>152</v>
      </c>
      <c r="I24" s="18"/>
      <c r="J24" s="18"/>
      <c r="K24" s="18" t="s">
        <v>153</v>
      </c>
    </row>
    <row r="25" customFormat="false" ht="23.25" hidden="false" customHeight="true" outlineLevel="0" collapsed="false">
      <c r="A25" s="18" t="n">
        <v>24</v>
      </c>
      <c r="B25" s="18" t="s">
        <v>147</v>
      </c>
      <c r="C25" s="18" t="s">
        <v>154</v>
      </c>
      <c r="D25" s="18" t="s">
        <v>155</v>
      </c>
      <c r="E25" s="20" t="s">
        <v>5</v>
      </c>
      <c r="F25" s="18" t="s">
        <v>156</v>
      </c>
      <c r="G25" s="18" t="s">
        <v>157</v>
      </c>
      <c r="H25" s="18" t="s">
        <v>158</v>
      </c>
      <c r="I25" s="18"/>
      <c r="J25" s="18"/>
      <c r="K25" s="18"/>
    </row>
    <row r="26" customFormat="false" ht="23.25" hidden="false" customHeight="true" outlineLevel="0" collapsed="false">
      <c r="A26" s="18" t="n">
        <v>25</v>
      </c>
      <c r="B26" s="18" t="s">
        <v>159</v>
      </c>
      <c r="C26" s="18" t="s">
        <v>51</v>
      </c>
      <c r="D26" s="18" t="s">
        <v>102</v>
      </c>
      <c r="E26" s="19" t="s">
        <v>19</v>
      </c>
      <c r="F26" s="18"/>
      <c r="G26" s="18"/>
      <c r="H26" s="18"/>
      <c r="I26" s="18"/>
      <c r="J26" s="18"/>
      <c r="K26" s="18" t="s">
        <v>54</v>
      </c>
    </row>
    <row r="27" customFormat="false" ht="23.25" hidden="false" customHeight="true" outlineLevel="0" collapsed="false">
      <c r="A27" s="18" t="n">
        <v>26</v>
      </c>
      <c r="B27" s="18" t="s">
        <v>159</v>
      </c>
      <c r="C27" s="18" t="s">
        <v>160</v>
      </c>
      <c r="D27" s="18" t="s">
        <v>161</v>
      </c>
      <c r="E27" s="23" t="s">
        <v>7</v>
      </c>
      <c r="F27" s="18" t="s">
        <v>162</v>
      </c>
      <c r="G27" s="18" t="s">
        <v>163</v>
      </c>
      <c r="H27" s="18" t="s">
        <v>164</v>
      </c>
      <c r="I27" s="18"/>
      <c r="J27" s="18"/>
      <c r="K27" s="18" t="s">
        <v>165</v>
      </c>
    </row>
    <row r="28" customFormat="false" ht="23.25" hidden="false" customHeight="true" outlineLevel="0" collapsed="false">
      <c r="A28" s="18" t="n">
        <v>27</v>
      </c>
      <c r="B28" s="18" t="s">
        <v>159</v>
      </c>
      <c r="C28" s="18" t="s">
        <v>166</v>
      </c>
      <c r="D28" s="18" t="s">
        <v>167</v>
      </c>
      <c r="E28" s="20" t="s">
        <v>5</v>
      </c>
      <c r="F28" s="18" t="s">
        <v>168</v>
      </c>
      <c r="G28" s="18" t="s">
        <v>169</v>
      </c>
      <c r="H28" s="18" t="s">
        <v>170</v>
      </c>
      <c r="I28" s="18"/>
      <c r="J28" s="18"/>
      <c r="K28" s="18"/>
    </row>
    <row r="29" customFormat="false" ht="34.5" hidden="false" customHeight="true" outlineLevel="0" collapsed="false">
      <c r="A29" s="18" t="n">
        <v>28</v>
      </c>
      <c r="B29" s="18" t="s">
        <v>159</v>
      </c>
      <c r="C29" s="18" t="s">
        <v>171</v>
      </c>
      <c r="D29" s="18" t="s">
        <v>172</v>
      </c>
      <c r="E29" s="20" t="s">
        <v>5</v>
      </c>
      <c r="F29" s="18" t="s">
        <v>173</v>
      </c>
      <c r="G29" s="18" t="s">
        <v>174</v>
      </c>
      <c r="H29" s="18" t="s">
        <v>175</v>
      </c>
      <c r="I29" s="18"/>
      <c r="J29" s="18"/>
      <c r="K29" s="18"/>
    </row>
    <row r="30" customFormat="false" ht="23.25" hidden="false" customHeight="true" outlineLevel="0" collapsed="false">
      <c r="A30" s="18" t="n">
        <v>29</v>
      </c>
      <c r="B30" s="18" t="s">
        <v>159</v>
      </c>
      <c r="C30" s="18" t="s">
        <v>176</v>
      </c>
      <c r="D30" s="18" t="s">
        <v>177</v>
      </c>
      <c r="E30" s="20" t="s">
        <v>5</v>
      </c>
      <c r="F30" s="18" t="s">
        <v>178</v>
      </c>
      <c r="G30" s="18" t="s">
        <v>179</v>
      </c>
      <c r="H30" s="18" t="s">
        <v>180</v>
      </c>
      <c r="I30" s="18"/>
      <c r="J30" s="18"/>
      <c r="K30" s="18"/>
    </row>
    <row r="31" customFormat="false" ht="23.25" hidden="false" customHeight="true" outlineLevel="0" collapsed="false">
      <c r="A31" s="18" t="n">
        <v>30</v>
      </c>
      <c r="B31" s="18" t="s">
        <v>159</v>
      </c>
      <c r="C31" s="18" t="s">
        <v>181</v>
      </c>
      <c r="D31" s="18" t="s">
        <v>182</v>
      </c>
      <c r="E31" s="20" t="s">
        <v>5</v>
      </c>
      <c r="F31" s="18" t="s">
        <v>183</v>
      </c>
      <c r="G31" s="18" t="s">
        <v>184</v>
      </c>
      <c r="H31" s="18" t="s">
        <v>185</v>
      </c>
      <c r="I31" s="18"/>
      <c r="J31" s="18"/>
      <c r="K31" s="18"/>
    </row>
    <row r="32" customFormat="false" ht="23.25" hidden="false" customHeight="true" outlineLevel="0" collapsed="false">
      <c r="A32" s="18" t="n">
        <v>31</v>
      </c>
      <c r="B32" s="18" t="s">
        <v>159</v>
      </c>
      <c r="C32" s="18" t="s">
        <v>186</v>
      </c>
      <c r="D32" s="18" t="s">
        <v>187</v>
      </c>
      <c r="E32" s="20" t="s">
        <v>5</v>
      </c>
      <c r="F32" s="18" t="s">
        <v>188</v>
      </c>
      <c r="G32" s="18" t="s">
        <v>189</v>
      </c>
      <c r="H32" s="18" t="s">
        <v>190</v>
      </c>
      <c r="I32" s="18"/>
      <c r="J32" s="18"/>
      <c r="K32" s="18" t="s">
        <v>191</v>
      </c>
    </row>
    <row r="33" customFormat="false" ht="23.25" hidden="false" customHeight="true" outlineLevel="0" collapsed="false">
      <c r="A33" s="18" t="n">
        <v>32</v>
      </c>
      <c r="B33" s="18" t="s">
        <v>159</v>
      </c>
      <c r="C33" s="18" t="s">
        <v>192</v>
      </c>
      <c r="D33" s="18" t="s">
        <v>193</v>
      </c>
      <c r="E33" s="20" t="s">
        <v>5</v>
      </c>
      <c r="F33" s="18" t="s">
        <v>194</v>
      </c>
      <c r="G33" s="18" t="s">
        <v>195</v>
      </c>
      <c r="H33" s="18" t="s">
        <v>196</v>
      </c>
      <c r="I33" s="18"/>
      <c r="J33" s="18"/>
      <c r="K33" s="18"/>
    </row>
    <row r="34" customFormat="false" ht="23.25" hidden="false" customHeight="true" outlineLevel="0" collapsed="false">
      <c r="A34" s="18" t="n">
        <v>33</v>
      </c>
      <c r="B34" s="18" t="s">
        <v>159</v>
      </c>
      <c r="C34" s="18" t="s">
        <v>197</v>
      </c>
      <c r="D34" s="18" t="s">
        <v>198</v>
      </c>
      <c r="E34" s="20" t="s">
        <v>5</v>
      </c>
      <c r="F34" s="18" t="s">
        <v>199</v>
      </c>
      <c r="G34" s="18" t="s">
        <v>200</v>
      </c>
      <c r="H34" s="18" t="s">
        <v>201</v>
      </c>
      <c r="I34" s="18"/>
      <c r="J34" s="18"/>
      <c r="K34" s="18"/>
    </row>
    <row r="35" customFormat="false" ht="23.25" hidden="false" customHeight="true" outlineLevel="0" collapsed="false">
      <c r="A35" s="18" t="n">
        <v>34</v>
      </c>
      <c r="B35" s="18" t="s">
        <v>159</v>
      </c>
      <c r="C35" s="18" t="s">
        <v>202</v>
      </c>
      <c r="D35" s="18" t="s">
        <v>203</v>
      </c>
      <c r="E35" s="20" t="s">
        <v>5</v>
      </c>
      <c r="F35" s="18" t="s">
        <v>204</v>
      </c>
      <c r="G35" s="18" t="s">
        <v>205</v>
      </c>
      <c r="H35" s="18" t="s">
        <v>206</v>
      </c>
      <c r="I35" s="18"/>
      <c r="J35" s="18"/>
      <c r="K35" s="18"/>
    </row>
    <row r="36" customFormat="false" ht="23.25" hidden="false" customHeight="true" outlineLevel="0" collapsed="false">
      <c r="A36" s="18" t="n">
        <v>35</v>
      </c>
      <c r="B36" s="18" t="s">
        <v>159</v>
      </c>
      <c r="C36" s="18" t="s">
        <v>207</v>
      </c>
      <c r="D36" s="18" t="s">
        <v>208</v>
      </c>
      <c r="E36" s="20" t="s">
        <v>5</v>
      </c>
      <c r="F36" s="18" t="s">
        <v>209</v>
      </c>
      <c r="G36" s="18" t="s">
        <v>210</v>
      </c>
      <c r="H36" s="18" t="s">
        <v>211</v>
      </c>
      <c r="I36" s="18"/>
      <c r="J36" s="18"/>
      <c r="K36" s="18"/>
    </row>
    <row r="37" customFormat="false" ht="23.25" hidden="false" customHeight="true" outlineLevel="0" collapsed="false">
      <c r="A37" s="18" t="n">
        <v>36</v>
      </c>
      <c r="B37" s="18" t="s">
        <v>159</v>
      </c>
      <c r="C37" s="18" t="s">
        <v>207</v>
      </c>
      <c r="D37" s="18" t="s">
        <v>212</v>
      </c>
      <c r="E37" s="20" t="s">
        <v>5</v>
      </c>
      <c r="F37" s="18" t="s">
        <v>209</v>
      </c>
      <c r="G37" s="18" t="s">
        <v>210</v>
      </c>
      <c r="H37" s="18" t="s">
        <v>211</v>
      </c>
      <c r="I37" s="18"/>
      <c r="J37" s="18"/>
      <c r="K37" s="18" t="s">
        <v>107</v>
      </c>
    </row>
    <row r="38" customFormat="false" ht="23.25" hidden="false" customHeight="true" outlineLevel="0" collapsed="false">
      <c r="A38" s="18" t="n">
        <v>37</v>
      </c>
      <c r="B38" s="18" t="s">
        <v>213</v>
      </c>
      <c r="C38" s="18" t="s">
        <v>51</v>
      </c>
      <c r="D38" s="18" t="s">
        <v>102</v>
      </c>
      <c r="E38" s="19" t="s">
        <v>19</v>
      </c>
      <c r="F38" s="18"/>
      <c r="G38" s="18"/>
      <c r="H38" s="18"/>
      <c r="I38" s="18"/>
      <c r="J38" s="18"/>
      <c r="K38" s="18" t="s">
        <v>54</v>
      </c>
    </row>
    <row r="39" customFormat="false" ht="23.25" hidden="false" customHeight="true" outlineLevel="0" collapsed="false">
      <c r="A39" s="18" t="n">
        <v>38</v>
      </c>
      <c r="B39" s="18" t="s">
        <v>213</v>
      </c>
      <c r="C39" s="18" t="s">
        <v>214</v>
      </c>
      <c r="D39" s="18" t="s">
        <v>215</v>
      </c>
      <c r="E39" s="20" t="s">
        <v>5</v>
      </c>
      <c r="F39" s="18" t="s">
        <v>216</v>
      </c>
      <c r="G39" s="18" t="s">
        <v>217</v>
      </c>
      <c r="H39" s="18" t="s">
        <v>218</v>
      </c>
      <c r="I39" s="18"/>
      <c r="J39" s="18"/>
      <c r="K39" s="18"/>
    </row>
    <row r="40" customFormat="false" ht="23.25" hidden="false" customHeight="true" outlineLevel="0" collapsed="false">
      <c r="A40" s="18" t="n">
        <v>39</v>
      </c>
      <c r="B40" s="18" t="s">
        <v>213</v>
      </c>
      <c r="C40" s="18" t="s">
        <v>219</v>
      </c>
      <c r="D40" s="18" t="s">
        <v>220</v>
      </c>
      <c r="E40" s="20" t="s">
        <v>5</v>
      </c>
      <c r="F40" s="18" t="s">
        <v>221</v>
      </c>
      <c r="G40" s="18" t="s">
        <v>222</v>
      </c>
      <c r="H40" s="18" t="s">
        <v>223</v>
      </c>
      <c r="I40" s="18"/>
      <c r="J40" s="18"/>
      <c r="K40" s="18"/>
    </row>
    <row r="41" customFormat="false" ht="23.25" hidden="false" customHeight="true" outlineLevel="0" collapsed="false">
      <c r="A41" s="18" t="n">
        <v>40</v>
      </c>
      <c r="B41" s="18" t="s">
        <v>213</v>
      </c>
      <c r="C41" s="18" t="s">
        <v>224</v>
      </c>
      <c r="D41" s="18" t="s">
        <v>225</v>
      </c>
      <c r="E41" s="20" t="s">
        <v>5</v>
      </c>
      <c r="F41" s="18" t="s">
        <v>226</v>
      </c>
      <c r="G41" s="18" t="s">
        <v>227</v>
      </c>
      <c r="H41" s="18" t="s">
        <v>228</v>
      </c>
      <c r="I41" s="18"/>
      <c r="J41" s="18"/>
      <c r="K41" s="18" t="s">
        <v>107</v>
      </c>
    </row>
    <row r="42" customFormat="false" ht="23.25" hidden="false" customHeight="true" outlineLevel="0" collapsed="false">
      <c r="A42" s="18" t="n">
        <v>41</v>
      </c>
      <c r="B42" s="18" t="s">
        <v>213</v>
      </c>
      <c r="C42" s="18" t="s">
        <v>229</v>
      </c>
      <c r="D42" s="18" t="s">
        <v>230</v>
      </c>
      <c r="E42" s="20" t="s">
        <v>5</v>
      </c>
      <c r="F42" s="18" t="s">
        <v>231</v>
      </c>
      <c r="G42" s="18" t="s">
        <v>232</v>
      </c>
      <c r="H42" s="18" t="s">
        <v>233</v>
      </c>
      <c r="I42" s="18"/>
      <c r="J42" s="18"/>
      <c r="K42" s="18"/>
    </row>
    <row r="43" customFormat="false" ht="23.25" hidden="false" customHeight="true" outlineLevel="0" collapsed="false">
      <c r="A43" s="18" t="n">
        <v>42</v>
      </c>
      <c r="B43" s="18" t="s">
        <v>213</v>
      </c>
      <c r="C43" s="18" t="s">
        <v>234</v>
      </c>
      <c r="D43" s="18" t="s">
        <v>235</v>
      </c>
      <c r="E43" s="20" t="s">
        <v>5</v>
      </c>
      <c r="F43" s="18" t="s">
        <v>236</v>
      </c>
      <c r="G43" s="18" t="s">
        <v>237</v>
      </c>
      <c r="H43" s="18" t="s">
        <v>238</v>
      </c>
      <c r="I43" s="18"/>
      <c r="J43" s="18"/>
      <c r="K43" s="18"/>
    </row>
    <row r="44" customFormat="false" ht="23.25" hidden="false" customHeight="true" outlineLevel="0" collapsed="false">
      <c r="A44" s="18" t="n">
        <v>43</v>
      </c>
      <c r="B44" s="18" t="s">
        <v>213</v>
      </c>
      <c r="C44" s="18" t="s">
        <v>239</v>
      </c>
      <c r="D44" s="18" t="s">
        <v>240</v>
      </c>
      <c r="E44" s="20" t="s">
        <v>5</v>
      </c>
      <c r="F44" s="18" t="s">
        <v>241</v>
      </c>
      <c r="G44" s="18" t="s">
        <v>242</v>
      </c>
      <c r="H44" s="18" t="s">
        <v>243</v>
      </c>
      <c r="I44" s="18"/>
      <c r="J44" s="18"/>
      <c r="K44" s="18"/>
    </row>
    <row r="45" customFormat="false" ht="23.25" hidden="false" customHeight="true" outlineLevel="0" collapsed="false">
      <c r="A45" s="18" t="n">
        <v>44</v>
      </c>
      <c r="B45" s="18" t="s">
        <v>213</v>
      </c>
      <c r="C45" s="18" t="s">
        <v>244</v>
      </c>
      <c r="D45" s="18" t="s">
        <v>240</v>
      </c>
      <c r="E45" s="20" t="s">
        <v>5</v>
      </c>
      <c r="F45" s="18" t="s">
        <v>245</v>
      </c>
      <c r="G45" s="18" t="s">
        <v>246</v>
      </c>
      <c r="H45" s="18" t="s">
        <v>247</v>
      </c>
      <c r="I45" s="18"/>
      <c r="J45" s="18"/>
      <c r="K45" s="18"/>
    </row>
    <row r="46" customFormat="false" ht="23.25" hidden="false" customHeight="true" outlineLevel="0" collapsed="false">
      <c r="A46" s="18" t="n">
        <v>45</v>
      </c>
      <c r="B46" s="18" t="s">
        <v>213</v>
      </c>
      <c r="C46" s="18" t="s">
        <v>248</v>
      </c>
      <c r="D46" s="18" t="s">
        <v>240</v>
      </c>
      <c r="E46" s="20" t="s">
        <v>5</v>
      </c>
      <c r="F46" s="18" t="s">
        <v>249</v>
      </c>
      <c r="G46" s="18" t="s">
        <v>250</v>
      </c>
      <c r="H46" s="18" t="s">
        <v>251</v>
      </c>
      <c r="I46" s="18"/>
      <c r="J46" s="18"/>
      <c r="K46" s="18"/>
    </row>
    <row r="47" customFormat="false" ht="15" hidden="false" customHeight="true" outlineLevel="0" collapsed="false">
      <c r="A47" s="18" t="n">
        <v>46</v>
      </c>
      <c r="B47" s="18" t="s">
        <v>252</v>
      </c>
      <c r="C47" s="18" t="s">
        <v>253</v>
      </c>
      <c r="D47" s="18" t="s">
        <v>254</v>
      </c>
      <c r="E47" s="20" t="s">
        <v>5</v>
      </c>
      <c r="F47" s="18" t="s">
        <v>255</v>
      </c>
      <c r="G47" s="18" t="s">
        <v>256</v>
      </c>
      <c r="H47" s="18" t="s">
        <v>257</v>
      </c>
      <c r="I47" s="18"/>
      <c r="J47" s="18"/>
      <c r="K47" s="18"/>
    </row>
    <row r="48" customFormat="false" ht="15" hidden="false" customHeight="true" outlineLevel="0" collapsed="false">
      <c r="A48" s="18" t="n">
        <v>47</v>
      </c>
      <c r="B48" s="18" t="s">
        <v>252</v>
      </c>
      <c r="C48" s="18" t="s">
        <v>258</v>
      </c>
      <c r="D48" s="18" t="s">
        <v>259</v>
      </c>
      <c r="E48" s="20" t="s">
        <v>5</v>
      </c>
      <c r="F48" s="18" t="s">
        <v>260</v>
      </c>
      <c r="G48" s="18" t="s">
        <v>261</v>
      </c>
      <c r="H48" s="18" t="s">
        <v>262</v>
      </c>
      <c r="I48" s="18"/>
      <c r="J48" s="18"/>
      <c r="K48" s="18"/>
    </row>
    <row r="49" customFormat="false" ht="23.25" hidden="false" customHeight="true" outlineLevel="0" collapsed="false">
      <c r="A49" s="18" t="n">
        <v>48</v>
      </c>
      <c r="B49" s="18" t="s">
        <v>252</v>
      </c>
      <c r="C49" s="18" t="s">
        <v>263</v>
      </c>
      <c r="D49" s="18" t="s">
        <v>264</v>
      </c>
      <c r="E49" s="20" t="s">
        <v>5</v>
      </c>
      <c r="F49" s="18" t="s">
        <v>265</v>
      </c>
      <c r="G49" s="18" t="s">
        <v>266</v>
      </c>
      <c r="H49" s="18" t="s">
        <v>267</v>
      </c>
      <c r="I49" s="18"/>
      <c r="J49" s="18"/>
      <c r="K49" s="18"/>
    </row>
    <row r="50" customFormat="false" ht="23.25" hidden="false" customHeight="true" outlineLevel="0" collapsed="false">
      <c r="A50" s="18" t="n">
        <v>49</v>
      </c>
      <c r="B50" s="18" t="s">
        <v>252</v>
      </c>
      <c r="C50" s="18" t="s">
        <v>263</v>
      </c>
      <c r="D50" s="18" t="s">
        <v>268</v>
      </c>
      <c r="E50" s="20" t="s">
        <v>5</v>
      </c>
      <c r="F50" s="18" t="s">
        <v>269</v>
      </c>
      <c r="G50" s="18" t="s">
        <v>270</v>
      </c>
      <c r="H50" s="18" t="s">
        <v>271</v>
      </c>
      <c r="I50" s="18"/>
      <c r="J50" s="18"/>
      <c r="K50" s="18"/>
    </row>
    <row r="51" customFormat="false" ht="23.25" hidden="false" customHeight="true" outlineLevel="0" collapsed="false">
      <c r="A51" s="18" t="n">
        <v>50</v>
      </c>
      <c r="B51" s="18" t="s">
        <v>252</v>
      </c>
      <c r="C51" s="18" t="s">
        <v>263</v>
      </c>
      <c r="D51" s="18" t="s">
        <v>272</v>
      </c>
      <c r="E51" s="20" t="s">
        <v>5</v>
      </c>
      <c r="F51" s="18" t="s">
        <v>273</v>
      </c>
      <c r="G51" s="18" t="s">
        <v>274</v>
      </c>
      <c r="H51" s="18" t="s">
        <v>275</v>
      </c>
      <c r="I51" s="18"/>
      <c r="J51" s="18"/>
      <c r="K51" s="18"/>
    </row>
    <row r="52" customFormat="false" ht="23.25" hidden="false" customHeight="true" outlineLevel="0" collapsed="false">
      <c r="A52" s="18" t="n">
        <v>51</v>
      </c>
      <c r="B52" s="18" t="s">
        <v>252</v>
      </c>
      <c r="C52" s="18" t="s">
        <v>263</v>
      </c>
      <c r="D52" s="18" t="s">
        <v>276</v>
      </c>
      <c r="E52" s="20" t="s">
        <v>5</v>
      </c>
      <c r="F52" s="18" t="s">
        <v>277</v>
      </c>
      <c r="G52" s="18" t="s">
        <v>278</v>
      </c>
      <c r="H52" s="18" t="s">
        <v>279</v>
      </c>
      <c r="I52" s="18"/>
      <c r="J52" s="18"/>
      <c r="K52" s="18" t="s">
        <v>107</v>
      </c>
    </row>
    <row r="53" customFormat="false" ht="15" hidden="false" customHeight="true" outlineLevel="0" collapsed="false">
      <c r="A53" s="18" t="n">
        <v>52</v>
      </c>
      <c r="B53" s="18" t="s">
        <v>252</v>
      </c>
      <c r="C53" s="18" t="s">
        <v>263</v>
      </c>
      <c r="D53" s="18" t="s">
        <v>280</v>
      </c>
      <c r="E53" s="20" t="s">
        <v>5</v>
      </c>
      <c r="F53" s="18" t="s">
        <v>281</v>
      </c>
      <c r="G53" s="18" t="s">
        <v>282</v>
      </c>
      <c r="H53" s="18" t="s">
        <v>283</v>
      </c>
      <c r="I53" s="18"/>
      <c r="J53" s="18"/>
      <c r="K53" s="18"/>
    </row>
    <row r="54" customFormat="false" ht="15" hidden="false" customHeight="true" outlineLevel="0" collapsed="false">
      <c r="A54" s="18" t="n">
        <v>53</v>
      </c>
      <c r="B54" s="18" t="s">
        <v>284</v>
      </c>
      <c r="C54" s="18" t="s">
        <v>51</v>
      </c>
      <c r="D54" s="18" t="s">
        <v>102</v>
      </c>
      <c r="E54" s="19" t="s">
        <v>19</v>
      </c>
      <c r="F54" s="18"/>
      <c r="G54" s="18"/>
      <c r="H54" s="18"/>
      <c r="I54" s="18"/>
      <c r="J54" s="18"/>
      <c r="K54" s="18" t="s">
        <v>54</v>
      </c>
    </row>
    <row r="55" customFormat="false" ht="23.25" hidden="false" customHeight="true" outlineLevel="0" collapsed="false">
      <c r="A55" s="18" t="n">
        <v>54</v>
      </c>
      <c r="B55" s="18" t="s">
        <v>284</v>
      </c>
      <c r="C55" s="18" t="s">
        <v>285</v>
      </c>
      <c r="D55" s="18" t="s">
        <v>286</v>
      </c>
      <c r="E55" s="20" t="s">
        <v>5</v>
      </c>
      <c r="F55" s="18" t="s">
        <v>287</v>
      </c>
      <c r="G55" s="18" t="s">
        <v>288</v>
      </c>
      <c r="H55" s="18" t="s">
        <v>289</v>
      </c>
      <c r="I55" s="18"/>
      <c r="J55" s="18"/>
      <c r="K55" s="18"/>
    </row>
    <row r="56" customFormat="false" ht="23.25" hidden="false" customHeight="true" outlineLevel="0" collapsed="false">
      <c r="A56" s="18" t="n">
        <v>55</v>
      </c>
      <c r="B56" s="18" t="s">
        <v>284</v>
      </c>
      <c r="C56" s="18" t="s">
        <v>285</v>
      </c>
      <c r="D56" s="18" t="s">
        <v>286</v>
      </c>
      <c r="E56" s="20" t="s">
        <v>5</v>
      </c>
      <c r="F56" s="18" t="s">
        <v>287</v>
      </c>
      <c r="G56" s="18" t="s">
        <v>288</v>
      </c>
      <c r="H56" s="18" t="s">
        <v>289</v>
      </c>
      <c r="I56" s="18"/>
      <c r="J56" s="18"/>
      <c r="K56" s="18"/>
    </row>
    <row r="57" customFormat="false" ht="15" hidden="false" customHeight="true" outlineLevel="0" collapsed="false">
      <c r="A57" s="18" t="n">
        <v>56</v>
      </c>
      <c r="B57" s="18" t="s">
        <v>284</v>
      </c>
      <c r="C57" s="18" t="s">
        <v>285</v>
      </c>
      <c r="D57" s="18" t="s">
        <v>290</v>
      </c>
      <c r="E57" s="21" t="s">
        <v>13</v>
      </c>
      <c r="F57" s="18" t="s">
        <v>291</v>
      </c>
      <c r="G57" s="18"/>
      <c r="H57" s="18"/>
      <c r="I57" s="18"/>
      <c r="J57" s="18"/>
      <c r="K57" s="18" t="s">
        <v>292</v>
      </c>
    </row>
    <row r="58" customFormat="false" ht="15" hidden="false" customHeight="true" outlineLevel="0" collapsed="false">
      <c r="A58" s="18" t="n">
        <v>57</v>
      </c>
      <c r="B58" s="18" t="s">
        <v>284</v>
      </c>
      <c r="C58" s="18" t="s">
        <v>293</v>
      </c>
      <c r="D58" s="18" t="s">
        <v>294</v>
      </c>
      <c r="E58" s="20" t="s">
        <v>5</v>
      </c>
      <c r="F58" s="18" t="s">
        <v>295</v>
      </c>
      <c r="G58" s="18" t="s">
        <v>296</v>
      </c>
      <c r="H58" s="18" t="s">
        <v>297</v>
      </c>
      <c r="I58" s="18"/>
      <c r="J58" s="18"/>
      <c r="K58" s="18"/>
    </row>
    <row r="59" customFormat="false" ht="15" hidden="false" customHeight="true" outlineLevel="0" collapsed="false">
      <c r="A59" s="18" t="n">
        <v>58</v>
      </c>
      <c r="B59" s="18" t="s">
        <v>284</v>
      </c>
      <c r="C59" s="18" t="s">
        <v>293</v>
      </c>
      <c r="D59" s="18" t="s">
        <v>298</v>
      </c>
      <c r="E59" s="20" t="s">
        <v>5</v>
      </c>
      <c r="F59" s="18" t="s">
        <v>295</v>
      </c>
      <c r="G59" s="18" t="s">
        <v>296</v>
      </c>
      <c r="H59" s="18" t="s">
        <v>297</v>
      </c>
      <c r="I59" s="18"/>
      <c r="J59" s="18"/>
      <c r="K59" s="18"/>
    </row>
    <row r="60" customFormat="false" ht="23.25" hidden="false" customHeight="true" outlineLevel="0" collapsed="false">
      <c r="A60" s="18" t="n">
        <v>59</v>
      </c>
      <c r="B60" s="18" t="s">
        <v>284</v>
      </c>
      <c r="C60" s="18" t="s">
        <v>293</v>
      </c>
      <c r="D60" s="18" t="s">
        <v>299</v>
      </c>
      <c r="E60" s="20" t="s">
        <v>5</v>
      </c>
      <c r="F60" s="18" t="s">
        <v>300</v>
      </c>
      <c r="G60" s="18" t="s">
        <v>301</v>
      </c>
      <c r="H60" s="18" t="s">
        <v>302</v>
      </c>
      <c r="I60" s="18"/>
      <c r="J60" s="18"/>
      <c r="K60" s="18"/>
    </row>
    <row r="61" customFormat="false" ht="15" hidden="false" customHeight="true" outlineLevel="0" collapsed="false">
      <c r="A61" s="18" t="n">
        <v>60</v>
      </c>
      <c r="B61" s="18" t="s">
        <v>284</v>
      </c>
      <c r="C61" s="18" t="s">
        <v>303</v>
      </c>
      <c r="D61" s="18" t="s">
        <v>304</v>
      </c>
      <c r="E61" s="24" t="s">
        <v>9</v>
      </c>
      <c r="F61" s="18" t="s">
        <v>305</v>
      </c>
      <c r="G61" s="18"/>
      <c r="H61" s="18" t="s">
        <v>306</v>
      </c>
      <c r="I61" s="18"/>
      <c r="J61" s="18"/>
      <c r="K61" s="18"/>
    </row>
    <row r="62" customFormat="false" ht="23.25" hidden="false" customHeight="true" outlineLevel="0" collapsed="false">
      <c r="A62" s="18" t="n">
        <v>61</v>
      </c>
      <c r="B62" s="18" t="s">
        <v>284</v>
      </c>
      <c r="C62" s="18" t="s">
        <v>303</v>
      </c>
      <c r="D62" s="18" t="s">
        <v>307</v>
      </c>
      <c r="E62" s="20" t="s">
        <v>5</v>
      </c>
      <c r="F62" s="18" t="s">
        <v>308</v>
      </c>
      <c r="G62" s="18" t="s">
        <v>309</v>
      </c>
      <c r="H62" s="18" t="s">
        <v>310</v>
      </c>
      <c r="I62" s="18"/>
      <c r="J62" s="18"/>
      <c r="K62" s="18"/>
    </row>
    <row r="63" customFormat="false" ht="15" hidden="false" customHeight="true" outlineLevel="0" collapsed="false">
      <c r="A63" s="18" t="n">
        <v>62</v>
      </c>
      <c r="B63" s="18" t="s">
        <v>284</v>
      </c>
      <c r="C63" s="18" t="s">
        <v>311</v>
      </c>
      <c r="D63" s="18" t="s">
        <v>312</v>
      </c>
      <c r="E63" s="20" t="s">
        <v>5</v>
      </c>
      <c r="F63" s="18" t="s">
        <v>313</v>
      </c>
      <c r="G63" s="18" t="s">
        <v>314</v>
      </c>
      <c r="H63" s="18" t="s">
        <v>315</v>
      </c>
      <c r="I63" s="18"/>
      <c r="J63" s="18"/>
      <c r="K63" s="18"/>
    </row>
    <row r="64" customFormat="false" ht="23.25" hidden="false" customHeight="true" outlineLevel="0" collapsed="false">
      <c r="A64" s="18" t="n">
        <v>63</v>
      </c>
      <c r="B64" s="18" t="s">
        <v>316</v>
      </c>
      <c r="C64" s="18" t="s">
        <v>51</v>
      </c>
      <c r="D64" s="18" t="s">
        <v>102</v>
      </c>
      <c r="E64" s="19" t="s">
        <v>19</v>
      </c>
      <c r="F64" s="18"/>
      <c r="G64" s="18"/>
      <c r="H64" s="18"/>
      <c r="I64" s="18"/>
      <c r="J64" s="18"/>
      <c r="K64" s="18" t="s">
        <v>54</v>
      </c>
    </row>
    <row r="65" customFormat="false" ht="34.5" hidden="false" customHeight="true" outlineLevel="0" collapsed="false">
      <c r="A65" s="18" t="n">
        <v>64</v>
      </c>
      <c r="B65" s="18" t="s">
        <v>316</v>
      </c>
      <c r="C65" s="18" t="s">
        <v>317</v>
      </c>
      <c r="D65" s="18" t="s">
        <v>318</v>
      </c>
      <c r="E65" s="20" t="s">
        <v>5</v>
      </c>
      <c r="F65" s="18" t="s">
        <v>319</v>
      </c>
      <c r="G65" s="18" t="s">
        <v>320</v>
      </c>
      <c r="H65" s="18" t="s">
        <v>321</v>
      </c>
      <c r="I65" s="18"/>
      <c r="J65" s="18"/>
      <c r="K65" s="18"/>
    </row>
    <row r="66" customFormat="false" ht="23.25" hidden="false" customHeight="true" outlineLevel="0" collapsed="false">
      <c r="A66" s="18" t="n">
        <v>65</v>
      </c>
      <c r="B66" s="18" t="s">
        <v>316</v>
      </c>
      <c r="C66" s="18" t="s">
        <v>322</v>
      </c>
      <c r="D66" s="18" t="s">
        <v>323</v>
      </c>
      <c r="E66" s="20" t="s">
        <v>5</v>
      </c>
      <c r="F66" s="18" t="s">
        <v>324</v>
      </c>
      <c r="G66" s="18" t="s">
        <v>325</v>
      </c>
      <c r="H66" s="18" t="s">
        <v>326</v>
      </c>
      <c r="I66" s="18"/>
      <c r="J66" s="18"/>
      <c r="K66" s="18"/>
    </row>
    <row r="67" customFormat="false" ht="23.25" hidden="false" customHeight="true" outlineLevel="0" collapsed="false">
      <c r="A67" s="18" t="n">
        <v>66</v>
      </c>
      <c r="B67" s="18" t="s">
        <v>316</v>
      </c>
      <c r="C67" s="18" t="s">
        <v>327</v>
      </c>
      <c r="D67" s="18" t="s">
        <v>328</v>
      </c>
      <c r="E67" s="20" t="s">
        <v>5</v>
      </c>
      <c r="F67" s="18" t="s">
        <v>329</v>
      </c>
      <c r="G67" s="18" t="s">
        <v>330</v>
      </c>
      <c r="H67" s="18" t="s">
        <v>331</v>
      </c>
      <c r="I67" s="18"/>
      <c r="J67" s="18"/>
      <c r="K67" s="18"/>
    </row>
    <row r="68" customFormat="false" ht="23.25" hidden="false" customHeight="true" outlineLevel="0" collapsed="false">
      <c r="A68" s="18" t="n">
        <v>67</v>
      </c>
      <c r="B68" s="18" t="s">
        <v>316</v>
      </c>
      <c r="C68" s="18" t="s">
        <v>332</v>
      </c>
      <c r="D68" s="18" t="s">
        <v>333</v>
      </c>
      <c r="E68" s="20" t="s">
        <v>5</v>
      </c>
      <c r="F68" s="18" t="s">
        <v>334</v>
      </c>
      <c r="G68" s="18" t="s">
        <v>335</v>
      </c>
      <c r="H68" s="18" t="s">
        <v>336</v>
      </c>
      <c r="I68" s="18"/>
      <c r="J68" s="18"/>
      <c r="K68" s="18"/>
    </row>
    <row r="69" customFormat="false" ht="23.25" hidden="false" customHeight="true" outlineLevel="0" collapsed="false">
      <c r="A69" s="18" t="n">
        <v>68</v>
      </c>
      <c r="B69" s="18" t="s">
        <v>316</v>
      </c>
      <c r="C69" s="18" t="s">
        <v>337</v>
      </c>
      <c r="D69" s="18" t="s">
        <v>338</v>
      </c>
      <c r="E69" s="23" t="s">
        <v>7</v>
      </c>
      <c r="F69" s="18" t="s">
        <v>339</v>
      </c>
      <c r="G69" s="18" t="s">
        <v>340</v>
      </c>
      <c r="H69" s="18" t="s">
        <v>341</v>
      </c>
      <c r="I69" s="18"/>
      <c r="J69" s="18"/>
      <c r="K69" s="18" t="s">
        <v>342</v>
      </c>
    </row>
    <row r="70" customFormat="false" ht="23.25" hidden="false" customHeight="true" outlineLevel="0" collapsed="false">
      <c r="A70" s="18" t="n">
        <v>69</v>
      </c>
      <c r="B70" s="18" t="s">
        <v>316</v>
      </c>
      <c r="C70" s="18" t="s">
        <v>343</v>
      </c>
      <c r="D70" s="18" t="s">
        <v>333</v>
      </c>
      <c r="E70" s="20" t="s">
        <v>5</v>
      </c>
      <c r="F70" s="18" t="s">
        <v>344</v>
      </c>
      <c r="G70" s="18" t="s">
        <v>345</v>
      </c>
      <c r="H70" s="18" t="s">
        <v>336</v>
      </c>
      <c r="I70" s="18"/>
      <c r="J70" s="18"/>
      <c r="K70" s="18"/>
    </row>
    <row r="71" customFormat="false" ht="23.25" hidden="false" customHeight="true" outlineLevel="0" collapsed="false">
      <c r="A71" s="18" t="n">
        <v>70</v>
      </c>
      <c r="B71" s="18" t="s">
        <v>316</v>
      </c>
      <c r="C71" s="18" t="s">
        <v>346</v>
      </c>
      <c r="D71" s="18" t="s">
        <v>333</v>
      </c>
      <c r="E71" s="23" t="s">
        <v>7</v>
      </c>
      <c r="F71" s="18" t="s">
        <v>347</v>
      </c>
      <c r="G71" s="18" t="s">
        <v>348</v>
      </c>
      <c r="H71" s="18" t="s">
        <v>349</v>
      </c>
      <c r="I71" s="18"/>
      <c r="J71" s="18"/>
      <c r="K71" s="18" t="s">
        <v>350</v>
      </c>
    </row>
    <row r="72" customFormat="false" ht="23.25" hidden="false" customHeight="true" outlineLevel="0" collapsed="false">
      <c r="A72" s="18" t="n">
        <v>71</v>
      </c>
      <c r="B72" s="18" t="s">
        <v>316</v>
      </c>
      <c r="C72" s="18" t="s">
        <v>346</v>
      </c>
      <c r="D72" s="18" t="s">
        <v>351</v>
      </c>
      <c r="E72" s="20" t="s">
        <v>5</v>
      </c>
      <c r="F72" s="18" t="s">
        <v>352</v>
      </c>
      <c r="G72" s="18" t="s">
        <v>353</v>
      </c>
      <c r="H72" s="18" t="s">
        <v>354</v>
      </c>
      <c r="I72" s="18"/>
      <c r="J72" s="18"/>
      <c r="K72" s="18"/>
    </row>
    <row r="73" customFormat="false" ht="23.25" hidden="false" customHeight="true" outlineLevel="0" collapsed="false">
      <c r="A73" s="18" t="n">
        <v>72</v>
      </c>
      <c r="B73" s="18" t="s">
        <v>316</v>
      </c>
      <c r="C73" s="18" t="s">
        <v>346</v>
      </c>
      <c r="D73" s="18" t="s">
        <v>351</v>
      </c>
      <c r="E73" s="20" t="s">
        <v>5</v>
      </c>
      <c r="F73" s="18" t="s">
        <v>355</v>
      </c>
      <c r="G73" s="18" t="s">
        <v>356</v>
      </c>
      <c r="H73" s="18" t="s">
        <v>357</v>
      </c>
      <c r="I73" s="18"/>
      <c r="J73" s="18"/>
      <c r="K73" s="18"/>
    </row>
    <row r="74" customFormat="false" ht="23.25" hidden="false" customHeight="true" outlineLevel="0" collapsed="false">
      <c r="A74" s="18" t="n">
        <v>73</v>
      </c>
      <c r="B74" s="18" t="s">
        <v>316</v>
      </c>
      <c r="C74" s="18" t="s">
        <v>346</v>
      </c>
      <c r="D74" s="18" t="s">
        <v>351</v>
      </c>
      <c r="E74" s="20" t="s">
        <v>5</v>
      </c>
      <c r="F74" s="18" t="s">
        <v>358</v>
      </c>
      <c r="G74" s="18" t="s">
        <v>359</v>
      </c>
      <c r="H74" s="18" t="s">
        <v>357</v>
      </c>
      <c r="I74" s="18"/>
      <c r="J74" s="18"/>
      <c r="K74" s="18"/>
    </row>
    <row r="75" customFormat="false" ht="23.25" hidden="false" customHeight="true" outlineLevel="0" collapsed="false">
      <c r="A75" s="18" t="n">
        <v>74</v>
      </c>
      <c r="B75" s="18" t="s">
        <v>316</v>
      </c>
      <c r="C75" s="18" t="s">
        <v>346</v>
      </c>
      <c r="D75" s="18" t="s">
        <v>360</v>
      </c>
      <c r="E75" s="20" t="s">
        <v>5</v>
      </c>
      <c r="F75" s="18" t="s">
        <v>361</v>
      </c>
      <c r="G75" s="18" t="s">
        <v>362</v>
      </c>
      <c r="H75" s="18" t="s">
        <v>363</v>
      </c>
      <c r="I75" s="18"/>
      <c r="J75" s="18"/>
      <c r="K75" s="18"/>
    </row>
    <row r="76" customFormat="false" ht="23.25" hidden="false" customHeight="true" outlineLevel="0" collapsed="false">
      <c r="A76" s="18" t="n">
        <v>75</v>
      </c>
      <c r="B76" s="18" t="s">
        <v>316</v>
      </c>
      <c r="C76" s="18" t="s">
        <v>346</v>
      </c>
      <c r="D76" s="18" t="s">
        <v>338</v>
      </c>
      <c r="E76" s="23" t="s">
        <v>7</v>
      </c>
      <c r="F76" s="18" t="s">
        <v>364</v>
      </c>
      <c r="G76" s="18" t="s">
        <v>365</v>
      </c>
      <c r="H76" s="18" t="s">
        <v>366</v>
      </c>
      <c r="I76" s="18"/>
      <c r="J76" s="18"/>
      <c r="K76" s="18" t="s">
        <v>367</v>
      </c>
    </row>
    <row r="77" customFormat="false" ht="23.25" hidden="false" customHeight="true" outlineLevel="0" collapsed="false">
      <c r="A77" s="18" t="n">
        <v>76</v>
      </c>
      <c r="B77" s="18" t="s">
        <v>316</v>
      </c>
      <c r="C77" s="18" t="s">
        <v>346</v>
      </c>
      <c r="D77" s="18" t="s">
        <v>368</v>
      </c>
      <c r="E77" s="20" t="s">
        <v>5</v>
      </c>
      <c r="F77" s="18" t="s">
        <v>369</v>
      </c>
      <c r="G77" s="18" t="s">
        <v>370</v>
      </c>
      <c r="H77" s="18" t="s">
        <v>371</v>
      </c>
      <c r="I77" s="18"/>
      <c r="J77" s="18"/>
      <c r="K77" s="18"/>
    </row>
    <row r="78" customFormat="false" ht="15" hidden="false" customHeight="true" outlineLevel="0" collapsed="false">
      <c r="A78" s="18" t="n">
        <v>77</v>
      </c>
      <c r="B78" s="18" t="s">
        <v>372</v>
      </c>
      <c r="C78" s="18" t="s">
        <v>373</v>
      </c>
      <c r="D78" s="18" t="s">
        <v>374</v>
      </c>
      <c r="E78" s="20" t="s">
        <v>5</v>
      </c>
      <c r="F78" s="18" t="s">
        <v>375</v>
      </c>
      <c r="G78" s="18" t="s">
        <v>376</v>
      </c>
      <c r="H78" s="18" t="s">
        <v>377</v>
      </c>
      <c r="I78" s="18"/>
      <c r="J78" s="18"/>
      <c r="K78" s="18"/>
    </row>
    <row r="79" customFormat="false" ht="34.5" hidden="false" customHeight="true" outlineLevel="0" collapsed="false">
      <c r="A79" s="18" t="n">
        <v>78</v>
      </c>
      <c r="B79" s="18" t="s">
        <v>372</v>
      </c>
      <c r="C79" s="18" t="s">
        <v>378</v>
      </c>
      <c r="D79" s="18" t="s">
        <v>379</v>
      </c>
      <c r="E79" s="20" t="s">
        <v>5</v>
      </c>
      <c r="F79" s="18" t="s">
        <v>380</v>
      </c>
      <c r="G79" s="18" t="s">
        <v>381</v>
      </c>
      <c r="H79" s="18" t="s">
        <v>382</v>
      </c>
      <c r="I79" s="18"/>
      <c r="J79" s="18"/>
      <c r="K79" s="18"/>
    </row>
    <row r="80" customFormat="false" ht="15" hidden="false" customHeight="true" outlineLevel="0" collapsed="false">
      <c r="A80" s="18" t="n">
        <v>79</v>
      </c>
      <c r="B80" s="18" t="s">
        <v>383</v>
      </c>
      <c r="C80" s="18" t="s">
        <v>51</v>
      </c>
      <c r="D80" s="18" t="s">
        <v>102</v>
      </c>
      <c r="E80" s="19" t="s">
        <v>19</v>
      </c>
      <c r="F80" s="18"/>
      <c r="G80" s="18"/>
      <c r="H80" s="18"/>
      <c r="I80" s="18"/>
      <c r="J80" s="18"/>
      <c r="K80" s="18" t="s">
        <v>54</v>
      </c>
    </row>
    <row r="81" customFormat="false" ht="34.5" hidden="false" customHeight="true" outlineLevel="0" collapsed="false">
      <c r="A81" s="18" t="n">
        <v>80</v>
      </c>
      <c r="B81" s="18" t="s">
        <v>383</v>
      </c>
      <c r="C81" s="18" t="s">
        <v>384</v>
      </c>
      <c r="D81" s="18" t="s">
        <v>385</v>
      </c>
      <c r="E81" s="20" t="s">
        <v>5</v>
      </c>
      <c r="F81" s="18" t="s">
        <v>386</v>
      </c>
      <c r="G81" s="18" t="s">
        <v>387</v>
      </c>
      <c r="H81" s="18" t="s">
        <v>388</v>
      </c>
      <c r="I81" s="18"/>
      <c r="J81" s="18"/>
      <c r="K81" s="18"/>
    </row>
    <row r="82" customFormat="false" ht="15" hidden="false" customHeight="true" outlineLevel="0" collapsed="false">
      <c r="A82" s="18" t="n">
        <v>81</v>
      </c>
      <c r="B82" s="18" t="s">
        <v>389</v>
      </c>
      <c r="C82" s="18" t="s">
        <v>51</v>
      </c>
      <c r="D82" s="18" t="s">
        <v>102</v>
      </c>
      <c r="E82" s="19" t="s">
        <v>19</v>
      </c>
      <c r="F82" s="18"/>
      <c r="G82" s="18"/>
      <c r="H82" s="18"/>
      <c r="I82" s="18"/>
      <c r="J82" s="18"/>
      <c r="K82" s="18" t="s">
        <v>54</v>
      </c>
    </row>
    <row r="83" customFormat="false" ht="15" hidden="false" customHeight="true" outlineLevel="0" collapsed="false">
      <c r="A83" s="18" t="n">
        <v>82</v>
      </c>
      <c r="B83" s="18" t="s">
        <v>389</v>
      </c>
      <c r="C83" s="18" t="s">
        <v>390</v>
      </c>
      <c r="D83" s="18" t="s">
        <v>391</v>
      </c>
      <c r="E83" s="20" t="s">
        <v>5</v>
      </c>
      <c r="F83" s="18" t="s">
        <v>392</v>
      </c>
      <c r="G83" s="18" t="s">
        <v>393</v>
      </c>
      <c r="H83" s="18" t="s">
        <v>394</v>
      </c>
      <c r="I83" s="18"/>
      <c r="J83" s="18"/>
      <c r="K83" s="18"/>
    </row>
    <row r="84" customFormat="false" ht="15" hidden="false" customHeight="true" outlineLevel="0" collapsed="false">
      <c r="A84" s="18" t="n">
        <v>83</v>
      </c>
      <c r="B84" s="18" t="s">
        <v>389</v>
      </c>
      <c r="C84" s="18" t="s">
        <v>395</v>
      </c>
      <c r="D84" s="18" t="s">
        <v>396</v>
      </c>
      <c r="E84" s="20" t="s">
        <v>5</v>
      </c>
      <c r="F84" s="18" t="s">
        <v>397</v>
      </c>
      <c r="G84" s="18" t="s">
        <v>398</v>
      </c>
      <c r="H84" s="18" t="s">
        <v>399</v>
      </c>
      <c r="I84" s="18"/>
      <c r="J84" s="18"/>
      <c r="K84" s="18"/>
    </row>
    <row r="85" customFormat="false" ht="23.25" hidden="false" customHeight="true" outlineLevel="0" collapsed="false">
      <c r="A85" s="18" t="n">
        <v>84</v>
      </c>
      <c r="B85" s="18" t="s">
        <v>389</v>
      </c>
      <c r="C85" s="18" t="s">
        <v>400</v>
      </c>
      <c r="D85" s="18" t="s">
        <v>401</v>
      </c>
      <c r="E85" s="20" t="s">
        <v>5</v>
      </c>
      <c r="F85" s="18" t="s">
        <v>402</v>
      </c>
      <c r="G85" s="18" t="s">
        <v>403</v>
      </c>
      <c r="H85" s="18" t="s">
        <v>404</v>
      </c>
      <c r="I85" s="18"/>
      <c r="J85" s="18"/>
      <c r="K85" s="18"/>
    </row>
    <row r="86" customFormat="false" ht="23.25" hidden="false" customHeight="true" outlineLevel="0" collapsed="false">
      <c r="A86" s="18" t="n">
        <v>85</v>
      </c>
      <c r="B86" s="18" t="s">
        <v>389</v>
      </c>
      <c r="C86" s="18" t="s">
        <v>405</v>
      </c>
      <c r="D86" s="18" t="s">
        <v>406</v>
      </c>
      <c r="E86" s="20" t="s">
        <v>5</v>
      </c>
      <c r="F86" s="18" t="s">
        <v>407</v>
      </c>
      <c r="G86" s="18" t="s">
        <v>408</v>
      </c>
      <c r="H86" s="18" t="s">
        <v>409</v>
      </c>
      <c r="I86" s="18"/>
      <c r="J86" s="18"/>
      <c r="K86" s="18"/>
    </row>
    <row r="87" customFormat="false" ht="23.25" hidden="false" customHeight="true" outlineLevel="0" collapsed="false">
      <c r="A87" s="18" t="n">
        <v>86</v>
      </c>
      <c r="B87" s="18" t="s">
        <v>389</v>
      </c>
      <c r="C87" s="18" t="s">
        <v>405</v>
      </c>
      <c r="D87" s="18" t="s">
        <v>406</v>
      </c>
      <c r="E87" s="20" t="s">
        <v>5</v>
      </c>
      <c r="F87" s="18" t="s">
        <v>407</v>
      </c>
      <c r="G87" s="18" t="s">
        <v>408</v>
      </c>
      <c r="H87" s="18" t="s">
        <v>409</v>
      </c>
      <c r="I87" s="18"/>
      <c r="J87" s="18"/>
      <c r="K87" s="18"/>
    </row>
    <row r="88" customFormat="false" ht="23.25" hidden="false" customHeight="true" outlineLevel="0" collapsed="false">
      <c r="A88" s="18" t="n">
        <v>87</v>
      </c>
      <c r="B88" s="18" t="s">
        <v>389</v>
      </c>
      <c r="C88" s="18" t="s">
        <v>405</v>
      </c>
      <c r="D88" s="18" t="s">
        <v>406</v>
      </c>
      <c r="E88" s="20" t="s">
        <v>5</v>
      </c>
      <c r="F88" s="18" t="s">
        <v>407</v>
      </c>
      <c r="G88" s="18" t="s">
        <v>408</v>
      </c>
      <c r="H88" s="18" t="s">
        <v>409</v>
      </c>
      <c r="I88" s="18"/>
      <c r="J88" s="18"/>
      <c r="K88" s="18"/>
    </row>
    <row r="89" customFormat="false" ht="15" hidden="false" customHeight="true" outlineLevel="0" collapsed="false">
      <c r="A89" s="18" t="n">
        <v>88</v>
      </c>
      <c r="B89" s="18" t="s">
        <v>410</v>
      </c>
      <c r="C89" s="18" t="s">
        <v>51</v>
      </c>
      <c r="D89" s="18" t="s">
        <v>102</v>
      </c>
      <c r="E89" s="19" t="s">
        <v>19</v>
      </c>
      <c r="F89" s="18"/>
      <c r="G89" s="18"/>
      <c r="H89" s="18"/>
      <c r="I89" s="18"/>
      <c r="J89" s="18"/>
      <c r="K89" s="18" t="s">
        <v>54</v>
      </c>
    </row>
    <row r="90" customFormat="false" ht="23.25" hidden="false" customHeight="true" outlineLevel="0" collapsed="false">
      <c r="A90" s="18" t="n">
        <v>89</v>
      </c>
      <c r="B90" s="18" t="s">
        <v>410</v>
      </c>
      <c r="C90" s="18" t="s">
        <v>411</v>
      </c>
      <c r="D90" s="18" t="s">
        <v>412</v>
      </c>
      <c r="E90" s="20" t="s">
        <v>5</v>
      </c>
      <c r="F90" s="18" t="s">
        <v>413</v>
      </c>
      <c r="G90" s="18" t="s">
        <v>414</v>
      </c>
      <c r="H90" s="18" t="s">
        <v>415</v>
      </c>
      <c r="I90" s="18"/>
      <c r="J90" s="18"/>
      <c r="K90" s="18"/>
    </row>
    <row r="91" customFormat="false" ht="23.25" hidden="false" customHeight="true" outlineLevel="0" collapsed="false">
      <c r="A91" s="18" t="n">
        <v>90</v>
      </c>
      <c r="B91" s="18" t="s">
        <v>410</v>
      </c>
      <c r="C91" s="18" t="s">
        <v>411</v>
      </c>
      <c r="D91" s="18" t="s">
        <v>416</v>
      </c>
      <c r="E91" s="20" t="s">
        <v>5</v>
      </c>
      <c r="F91" s="18" t="s">
        <v>417</v>
      </c>
      <c r="G91" s="18" t="s">
        <v>418</v>
      </c>
      <c r="H91" s="18" t="s">
        <v>419</v>
      </c>
      <c r="I91" s="18"/>
      <c r="J91" s="18"/>
      <c r="K91" s="18"/>
    </row>
    <row r="92" customFormat="false" ht="15" hidden="false" customHeight="true" outlineLevel="0" collapsed="false">
      <c r="A92" s="18" t="n">
        <v>91</v>
      </c>
      <c r="B92" s="18" t="s">
        <v>410</v>
      </c>
      <c r="C92" s="18" t="s">
        <v>244</v>
      </c>
      <c r="D92" s="18" t="s">
        <v>420</v>
      </c>
      <c r="E92" s="20" t="s">
        <v>5</v>
      </c>
      <c r="F92" s="18" t="s">
        <v>421</v>
      </c>
      <c r="G92" s="18" t="s">
        <v>422</v>
      </c>
      <c r="H92" s="18" t="s">
        <v>423</v>
      </c>
      <c r="I92" s="18"/>
      <c r="J92" s="18"/>
      <c r="K92" s="18"/>
    </row>
    <row r="93" customFormat="false" ht="23.25" hidden="false" customHeight="true" outlineLevel="0" collapsed="false">
      <c r="A93" s="18" t="n">
        <v>92</v>
      </c>
      <c r="B93" s="18" t="s">
        <v>410</v>
      </c>
      <c r="C93" s="18" t="s">
        <v>244</v>
      </c>
      <c r="D93" s="18" t="s">
        <v>424</v>
      </c>
      <c r="E93" s="20" t="s">
        <v>5</v>
      </c>
      <c r="F93" s="18" t="s">
        <v>425</v>
      </c>
      <c r="G93" s="18" t="s">
        <v>426</v>
      </c>
      <c r="H93" s="18" t="s">
        <v>427</v>
      </c>
      <c r="I93" s="18"/>
      <c r="J93" s="18"/>
      <c r="K93" s="18"/>
    </row>
    <row r="94" customFormat="false" ht="23.25" hidden="false" customHeight="true" outlineLevel="0" collapsed="false">
      <c r="A94" s="18" t="n">
        <v>93</v>
      </c>
      <c r="B94" s="18" t="s">
        <v>410</v>
      </c>
      <c r="C94" s="18" t="s">
        <v>244</v>
      </c>
      <c r="D94" s="18" t="s">
        <v>428</v>
      </c>
      <c r="E94" s="20" t="s">
        <v>5</v>
      </c>
      <c r="F94" s="18" t="s">
        <v>429</v>
      </c>
      <c r="G94" s="18" t="s">
        <v>430</v>
      </c>
      <c r="H94" s="18" t="s">
        <v>431</v>
      </c>
      <c r="I94" s="18"/>
      <c r="J94" s="18"/>
      <c r="K94" s="18"/>
    </row>
    <row r="95" customFormat="false" ht="23.25" hidden="false" customHeight="true" outlineLevel="0" collapsed="false">
      <c r="A95" s="18" t="n">
        <v>94</v>
      </c>
      <c r="B95" s="18" t="s">
        <v>410</v>
      </c>
      <c r="C95" s="18" t="s">
        <v>244</v>
      </c>
      <c r="D95" s="18" t="s">
        <v>432</v>
      </c>
      <c r="E95" s="20" t="s">
        <v>5</v>
      </c>
      <c r="F95" s="18" t="s">
        <v>433</v>
      </c>
      <c r="G95" s="18" t="s">
        <v>434</v>
      </c>
      <c r="H95" s="18" t="s">
        <v>435</v>
      </c>
      <c r="I95" s="18"/>
      <c r="J95" s="18"/>
      <c r="K95" s="18"/>
    </row>
    <row r="96" customFormat="false" ht="23.25" hidden="false" customHeight="true" outlineLevel="0" collapsed="false">
      <c r="A96" s="18" t="n">
        <v>95</v>
      </c>
      <c r="B96" s="18" t="s">
        <v>410</v>
      </c>
      <c r="C96" s="18" t="s">
        <v>244</v>
      </c>
      <c r="D96" s="18" t="s">
        <v>436</v>
      </c>
      <c r="E96" s="20" t="s">
        <v>5</v>
      </c>
      <c r="F96" s="18" t="s">
        <v>437</v>
      </c>
      <c r="G96" s="18" t="s">
        <v>438</v>
      </c>
      <c r="H96" s="18" t="s">
        <v>439</v>
      </c>
      <c r="I96" s="18"/>
      <c r="J96" s="18"/>
      <c r="K96" s="18"/>
    </row>
    <row r="97" customFormat="false" ht="15" hidden="false" customHeight="true" outlineLevel="0" collapsed="false">
      <c r="A97" s="18" t="n">
        <v>96</v>
      </c>
      <c r="B97" s="18" t="s">
        <v>410</v>
      </c>
      <c r="C97" s="18" t="s">
        <v>440</v>
      </c>
      <c r="D97" s="18" t="s">
        <v>441</v>
      </c>
      <c r="E97" s="20" t="s">
        <v>5</v>
      </c>
      <c r="F97" s="18" t="s">
        <v>442</v>
      </c>
      <c r="G97" s="18" t="s">
        <v>443</v>
      </c>
      <c r="H97" s="18" t="s">
        <v>444</v>
      </c>
      <c r="I97" s="18"/>
      <c r="J97" s="18"/>
      <c r="K97" s="18"/>
    </row>
    <row r="98" customFormat="false" ht="15" hidden="false" customHeight="true" outlineLevel="0" collapsed="false">
      <c r="A98" s="18" t="n">
        <v>97</v>
      </c>
      <c r="B98" s="18" t="s">
        <v>410</v>
      </c>
      <c r="C98" s="18" t="s">
        <v>440</v>
      </c>
      <c r="D98" s="18" t="s">
        <v>441</v>
      </c>
      <c r="E98" s="20" t="s">
        <v>5</v>
      </c>
      <c r="F98" s="18" t="s">
        <v>445</v>
      </c>
      <c r="G98" s="18" t="s">
        <v>446</v>
      </c>
      <c r="H98" s="18" t="s">
        <v>447</v>
      </c>
      <c r="I98" s="18"/>
      <c r="J98" s="18"/>
      <c r="K98" s="18"/>
    </row>
    <row r="99" customFormat="false" ht="23.25" hidden="false" customHeight="true" outlineLevel="0" collapsed="false">
      <c r="A99" s="18" t="n">
        <v>98</v>
      </c>
      <c r="B99" s="18" t="s">
        <v>410</v>
      </c>
      <c r="C99" s="18" t="s">
        <v>440</v>
      </c>
      <c r="D99" s="18" t="s">
        <v>448</v>
      </c>
      <c r="E99" s="20" t="s">
        <v>5</v>
      </c>
      <c r="F99" s="18" t="s">
        <v>449</v>
      </c>
      <c r="G99" s="18" t="s">
        <v>450</v>
      </c>
      <c r="H99" s="18" t="s">
        <v>451</v>
      </c>
      <c r="I99" s="18"/>
      <c r="J99" s="18"/>
      <c r="K99" s="18"/>
    </row>
    <row r="100" customFormat="false" ht="23.25" hidden="false" customHeight="true" outlineLevel="0" collapsed="false">
      <c r="A100" s="18" t="n">
        <v>99</v>
      </c>
      <c r="B100" s="18" t="s">
        <v>410</v>
      </c>
      <c r="C100" s="18" t="s">
        <v>440</v>
      </c>
      <c r="D100" s="18" t="s">
        <v>452</v>
      </c>
      <c r="E100" s="20" t="s">
        <v>5</v>
      </c>
      <c r="F100" s="18" t="s">
        <v>449</v>
      </c>
      <c r="G100" s="18" t="s">
        <v>450</v>
      </c>
      <c r="H100" s="18" t="s">
        <v>451</v>
      </c>
      <c r="I100" s="18"/>
      <c r="J100" s="18"/>
      <c r="K100" s="18"/>
    </row>
    <row r="101" customFormat="false" ht="23.25" hidden="false" customHeight="true" outlineLevel="0" collapsed="false">
      <c r="A101" s="18" t="n">
        <v>100</v>
      </c>
      <c r="B101" s="18" t="s">
        <v>410</v>
      </c>
      <c r="C101" s="18" t="s">
        <v>440</v>
      </c>
      <c r="D101" s="18" t="s">
        <v>452</v>
      </c>
      <c r="E101" s="20" t="s">
        <v>5</v>
      </c>
      <c r="F101" s="18" t="s">
        <v>449</v>
      </c>
      <c r="G101" s="18" t="s">
        <v>450</v>
      </c>
      <c r="H101" s="18" t="s">
        <v>451</v>
      </c>
      <c r="I101" s="18"/>
      <c r="J101" s="18"/>
      <c r="K101" s="18"/>
    </row>
    <row r="102" customFormat="false" ht="23.25" hidden="false" customHeight="true" outlineLevel="0" collapsed="false">
      <c r="A102" s="18" t="n">
        <v>101</v>
      </c>
      <c r="B102" s="18" t="s">
        <v>410</v>
      </c>
      <c r="C102" s="18" t="s">
        <v>440</v>
      </c>
      <c r="D102" s="18" t="s">
        <v>453</v>
      </c>
      <c r="E102" s="20" t="s">
        <v>5</v>
      </c>
      <c r="F102" s="18" t="s">
        <v>454</v>
      </c>
      <c r="G102" s="18" t="s">
        <v>455</v>
      </c>
      <c r="H102" s="18" t="s">
        <v>456</v>
      </c>
      <c r="I102" s="18"/>
      <c r="J102" s="18"/>
      <c r="K102" s="18"/>
    </row>
    <row r="103" customFormat="false" ht="23.25" hidden="false" customHeight="true" outlineLevel="0" collapsed="false">
      <c r="A103" s="18" t="n">
        <v>102</v>
      </c>
      <c r="B103" s="18" t="s">
        <v>410</v>
      </c>
      <c r="C103" s="18" t="s">
        <v>440</v>
      </c>
      <c r="D103" s="18" t="s">
        <v>457</v>
      </c>
      <c r="E103" s="20" t="s">
        <v>5</v>
      </c>
      <c r="F103" s="18" t="s">
        <v>458</v>
      </c>
      <c r="G103" s="18" t="s">
        <v>459</v>
      </c>
      <c r="H103" s="18" t="s">
        <v>460</v>
      </c>
      <c r="I103" s="18"/>
      <c r="J103" s="18"/>
      <c r="K103" s="18"/>
    </row>
    <row r="104" customFormat="false" ht="23.25" hidden="false" customHeight="true" outlineLevel="0" collapsed="false">
      <c r="A104" s="18" t="n">
        <v>103</v>
      </c>
      <c r="B104" s="18" t="s">
        <v>410</v>
      </c>
      <c r="C104" s="18" t="s">
        <v>440</v>
      </c>
      <c r="D104" s="18" t="s">
        <v>461</v>
      </c>
      <c r="E104" s="20" t="s">
        <v>5</v>
      </c>
      <c r="F104" s="18" t="s">
        <v>462</v>
      </c>
      <c r="G104" s="18" t="s">
        <v>463</v>
      </c>
      <c r="H104" s="18" t="s">
        <v>464</v>
      </c>
      <c r="I104" s="18"/>
      <c r="J104" s="18"/>
      <c r="K104" s="18"/>
    </row>
    <row r="105" customFormat="false" ht="23.25" hidden="false" customHeight="true" outlineLevel="0" collapsed="false">
      <c r="A105" s="18" t="n">
        <v>104</v>
      </c>
      <c r="B105" s="18" t="s">
        <v>410</v>
      </c>
      <c r="C105" s="18" t="s">
        <v>440</v>
      </c>
      <c r="D105" s="18" t="s">
        <v>465</v>
      </c>
      <c r="E105" s="20" t="s">
        <v>5</v>
      </c>
      <c r="F105" s="18" t="s">
        <v>466</v>
      </c>
      <c r="G105" s="18" t="s">
        <v>467</v>
      </c>
      <c r="H105" s="18" t="s">
        <v>468</v>
      </c>
      <c r="I105" s="18"/>
      <c r="J105" s="18"/>
      <c r="K105" s="18"/>
    </row>
    <row r="106" customFormat="false" ht="34.5" hidden="false" customHeight="true" outlineLevel="0" collapsed="false">
      <c r="A106" s="18" t="n">
        <v>105</v>
      </c>
      <c r="B106" s="18" t="s">
        <v>410</v>
      </c>
      <c r="C106" s="18" t="s">
        <v>440</v>
      </c>
      <c r="D106" s="18" t="s">
        <v>469</v>
      </c>
      <c r="E106" s="20" t="s">
        <v>5</v>
      </c>
      <c r="F106" s="18" t="s">
        <v>470</v>
      </c>
      <c r="G106" s="18" t="s">
        <v>471</v>
      </c>
      <c r="H106" s="18" t="s">
        <v>472</v>
      </c>
      <c r="I106" s="18"/>
      <c r="J106" s="18"/>
      <c r="K106" s="18"/>
    </row>
    <row r="107" customFormat="false" ht="23.25" hidden="false" customHeight="true" outlineLevel="0" collapsed="false">
      <c r="A107" s="18" t="n">
        <v>106</v>
      </c>
      <c r="B107" s="18" t="s">
        <v>410</v>
      </c>
      <c r="C107" s="18" t="s">
        <v>473</v>
      </c>
      <c r="D107" s="18" t="s">
        <v>474</v>
      </c>
      <c r="E107" s="20" t="s">
        <v>5</v>
      </c>
      <c r="F107" s="18" t="s">
        <v>475</v>
      </c>
      <c r="G107" s="18" t="s">
        <v>476</v>
      </c>
      <c r="H107" s="18" t="s">
        <v>477</v>
      </c>
      <c r="I107" s="18"/>
      <c r="J107" s="18"/>
      <c r="K107" s="18"/>
    </row>
    <row r="108" customFormat="false" ht="23.25" hidden="false" customHeight="true" outlineLevel="0" collapsed="false">
      <c r="A108" s="18" t="n">
        <v>107</v>
      </c>
      <c r="B108" s="18" t="s">
        <v>410</v>
      </c>
      <c r="C108" s="18" t="s">
        <v>473</v>
      </c>
      <c r="D108" s="18" t="s">
        <v>478</v>
      </c>
      <c r="E108" s="23" t="s">
        <v>7</v>
      </c>
      <c r="F108" s="18" t="s">
        <v>479</v>
      </c>
      <c r="G108" s="18" t="s">
        <v>480</v>
      </c>
      <c r="H108" s="18" t="s">
        <v>481</v>
      </c>
      <c r="I108" s="18"/>
      <c r="J108" s="18"/>
      <c r="K108" s="18" t="s">
        <v>482</v>
      </c>
    </row>
    <row r="109" customFormat="false" ht="23.25" hidden="false" customHeight="true" outlineLevel="0" collapsed="false">
      <c r="A109" s="18" t="n">
        <v>108</v>
      </c>
      <c r="B109" s="18" t="s">
        <v>410</v>
      </c>
      <c r="C109" s="18" t="s">
        <v>473</v>
      </c>
      <c r="D109" s="18" t="s">
        <v>483</v>
      </c>
      <c r="E109" s="20" t="s">
        <v>5</v>
      </c>
      <c r="F109" s="18" t="s">
        <v>484</v>
      </c>
      <c r="G109" s="18" t="s">
        <v>485</v>
      </c>
      <c r="H109" s="18" t="s">
        <v>486</v>
      </c>
      <c r="I109" s="18"/>
      <c r="J109" s="18"/>
      <c r="K109" s="18"/>
    </row>
    <row r="110" customFormat="false" ht="23.25" hidden="false" customHeight="true" outlineLevel="0" collapsed="false">
      <c r="A110" s="18" t="n">
        <v>109</v>
      </c>
      <c r="B110" s="18" t="s">
        <v>410</v>
      </c>
      <c r="C110" s="18" t="s">
        <v>473</v>
      </c>
      <c r="D110" s="18" t="s">
        <v>487</v>
      </c>
      <c r="E110" s="20" t="s">
        <v>5</v>
      </c>
      <c r="F110" s="18" t="s">
        <v>442</v>
      </c>
      <c r="G110" s="18" t="s">
        <v>443</v>
      </c>
      <c r="H110" s="18" t="s">
        <v>444</v>
      </c>
      <c r="I110" s="18"/>
      <c r="J110" s="18"/>
      <c r="K110" s="18" t="s">
        <v>488</v>
      </c>
    </row>
    <row r="111" customFormat="false" ht="23.25" hidden="false" customHeight="true" outlineLevel="0" collapsed="false">
      <c r="A111" s="18" t="n">
        <v>110</v>
      </c>
      <c r="B111" s="18" t="s">
        <v>410</v>
      </c>
      <c r="C111" s="18" t="s">
        <v>473</v>
      </c>
      <c r="D111" s="18" t="s">
        <v>489</v>
      </c>
      <c r="E111" s="20" t="s">
        <v>5</v>
      </c>
      <c r="F111" s="18" t="s">
        <v>490</v>
      </c>
      <c r="G111" s="18" t="s">
        <v>491</v>
      </c>
      <c r="H111" s="18" t="s">
        <v>492</v>
      </c>
      <c r="I111" s="18"/>
      <c r="J111" s="18"/>
      <c r="K111" s="18"/>
    </row>
    <row r="112" customFormat="false" ht="23.25" hidden="false" customHeight="true" outlineLevel="0" collapsed="false">
      <c r="A112" s="18" t="n">
        <v>111</v>
      </c>
      <c r="B112" s="18" t="s">
        <v>410</v>
      </c>
      <c r="C112" s="18" t="s">
        <v>473</v>
      </c>
      <c r="D112" s="18" t="s">
        <v>493</v>
      </c>
      <c r="E112" s="20" t="s">
        <v>5</v>
      </c>
      <c r="F112" s="18" t="s">
        <v>494</v>
      </c>
      <c r="G112" s="18" t="s">
        <v>495</v>
      </c>
      <c r="H112" s="18"/>
      <c r="I112" s="18"/>
      <c r="J112" s="18"/>
      <c r="K112" s="18"/>
    </row>
    <row r="113" customFormat="false" ht="23.25" hidden="false" customHeight="true" outlineLevel="0" collapsed="false">
      <c r="A113" s="18" t="n">
        <v>112</v>
      </c>
      <c r="B113" s="18" t="s">
        <v>496</v>
      </c>
      <c r="C113" s="18" t="s">
        <v>497</v>
      </c>
      <c r="D113" s="18" t="s">
        <v>498</v>
      </c>
      <c r="E113" s="23" t="s">
        <v>7</v>
      </c>
      <c r="F113" s="18" t="s">
        <v>499</v>
      </c>
      <c r="G113" s="18" t="s">
        <v>500</v>
      </c>
      <c r="H113" s="18" t="s">
        <v>501</v>
      </c>
      <c r="I113" s="18"/>
      <c r="J113" s="18"/>
      <c r="K113" s="18" t="s">
        <v>502</v>
      </c>
    </row>
    <row r="114" customFormat="false" ht="23.25" hidden="false" customHeight="true" outlineLevel="0" collapsed="false">
      <c r="A114" s="18" t="n">
        <v>113</v>
      </c>
      <c r="B114" s="18" t="s">
        <v>496</v>
      </c>
      <c r="C114" s="18" t="s">
        <v>503</v>
      </c>
      <c r="D114" s="18" t="s">
        <v>504</v>
      </c>
      <c r="E114" s="20" t="s">
        <v>5</v>
      </c>
      <c r="F114" s="18" t="s">
        <v>505</v>
      </c>
      <c r="G114" s="18" t="s">
        <v>506</v>
      </c>
      <c r="H114" s="18" t="s">
        <v>507</v>
      </c>
      <c r="I114" s="18"/>
      <c r="J114" s="18"/>
      <c r="K114" s="18"/>
    </row>
    <row r="115" customFormat="false" ht="34.5" hidden="false" customHeight="true" outlineLevel="0" collapsed="false">
      <c r="A115" s="18" t="n">
        <v>114</v>
      </c>
      <c r="B115" s="18" t="s">
        <v>496</v>
      </c>
      <c r="C115" s="18" t="s">
        <v>508</v>
      </c>
      <c r="D115" s="18" t="s">
        <v>509</v>
      </c>
      <c r="E115" s="20" t="s">
        <v>5</v>
      </c>
      <c r="F115" s="18" t="s">
        <v>510</v>
      </c>
      <c r="G115" s="18" t="s">
        <v>511</v>
      </c>
      <c r="H115" s="18" t="s">
        <v>512</v>
      </c>
      <c r="I115" s="18"/>
      <c r="J115" s="18"/>
      <c r="K115" s="18"/>
    </row>
    <row r="116" customFormat="false" ht="23.25" hidden="false" customHeight="true" outlineLevel="0" collapsed="false">
      <c r="A116" s="18" t="n">
        <v>115</v>
      </c>
      <c r="B116" s="18" t="s">
        <v>496</v>
      </c>
      <c r="C116" s="18" t="s">
        <v>513</v>
      </c>
      <c r="D116" s="18" t="s">
        <v>514</v>
      </c>
      <c r="E116" s="20" t="s">
        <v>5</v>
      </c>
      <c r="F116" s="18" t="s">
        <v>515</v>
      </c>
      <c r="G116" s="18" t="s">
        <v>516</v>
      </c>
      <c r="H116" s="18" t="s">
        <v>517</v>
      </c>
      <c r="I116" s="18"/>
      <c r="J116" s="18"/>
      <c r="K116" s="18"/>
    </row>
    <row r="117" customFormat="false" ht="23.25" hidden="false" customHeight="true" outlineLevel="0" collapsed="false">
      <c r="A117" s="18" t="n">
        <v>116</v>
      </c>
      <c r="B117" s="18" t="s">
        <v>496</v>
      </c>
      <c r="C117" s="18" t="s">
        <v>513</v>
      </c>
      <c r="D117" s="18" t="s">
        <v>514</v>
      </c>
      <c r="E117" s="20" t="s">
        <v>5</v>
      </c>
      <c r="F117" s="18" t="s">
        <v>518</v>
      </c>
      <c r="G117" s="18" t="s">
        <v>519</v>
      </c>
      <c r="H117" s="18" t="s">
        <v>520</v>
      </c>
      <c r="I117" s="18"/>
      <c r="J117" s="18"/>
      <c r="K117" s="18"/>
    </row>
    <row r="118" customFormat="false" ht="23.25" hidden="false" customHeight="true" outlineLevel="0" collapsed="false">
      <c r="A118" s="18" t="n">
        <v>117</v>
      </c>
      <c r="B118" s="18" t="s">
        <v>496</v>
      </c>
      <c r="C118" s="18" t="s">
        <v>513</v>
      </c>
      <c r="D118" s="18" t="s">
        <v>514</v>
      </c>
      <c r="E118" s="20" t="s">
        <v>5</v>
      </c>
      <c r="F118" s="18" t="s">
        <v>521</v>
      </c>
      <c r="G118" s="18" t="s">
        <v>522</v>
      </c>
      <c r="H118" s="18" t="s">
        <v>523</v>
      </c>
      <c r="I118" s="18"/>
      <c r="J118" s="18"/>
      <c r="K118" s="18"/>
    </row>
    <row r="119" customFormat="false" ht="23.25" hidden="false" customHeight="true" outlineLevel="0" collapsed="false">
      <c r="A119" s="18" t="n">
        <v>118</v>
      </c>
      <c r="B119" s="18" t="s">
        <v>496</v>
      </c>
      <c r="C119" s="18" t="s">
        <v>513</v>
      </c>
      <c r="D119" s="18" t="s">
        <v>514</v>
      </c>
      <c r="E119" s="20" t="s">
        <v>5</v>
      </c>
      <c r="F119" s="18" t="s">
        <v>524</v>
      </c>
      <c r="G119" s="18" t="s">
        <v>525</v>
      </c>
      <c r="H119" s="18" t="s">
        <v>526</v>
      </c>
      <c r="I119" s="18"/>
      <c r="J119" s="18"/>
      <c r="K119" s="18"/>
    </row>
    <row r="120" customFormat="false" ht="15" hidden="false" customHeight="true" outlineLevel="0" collapsed="false">
      <c r="A120" s="18" t="n">
        <v>119</v>
      </c>
      <c r="B120" s="18" t="s">
        <v>527</v>
      </c>
      <c r="C120" s="18" t="s">
        <v>51</v>
      </c>
      <c r="D120" s="18" t="s">
        <v>102</v>
      </c>
      <c r="E120" s="19" t="s">
        <v>19</v>
      </c>
      <c r="F120" s="18"/>
      <c r="G120" s="18"/>
      <c r="H120" s="18"/>
      <c r="I120" s="18"/>
      <c r="J120" s="18"/>
      <c r="K120" s="18" t="s">
        <v>54</v>
      </c>
    </row>
    <row r="121" customFormat="false" ht="15" hidden="false" customHeight="true" outlineLevel="0" collapsed="false">
      <c r="A121" s="18" t="n">
        <v>120</v>
      </c>
      <c r="B121" s="18" t="s">
        <v>527</v>
      </c>
      <c r="C121" s="18" t="s">
        <v>528</v>
      </c>
      <c r="D121" s="18" t="s">
        <v>529</v>
      </c>
      <c r="E121" s="24" t="s">
        <v>9</v>
      </c>
      <c r="F121" s="18" t="s">
        <v>530</v>
      </c>
      <c r="G121" s="18"/>
      <c r="H121" s="18"/>
      <c r="I121" s="18"/>
      <c r="J121" s="18" t="s">
        <v>80</v>
      </c>
      <c r="K121" s="18"/>
    </row>
    <row r="122" customFormat="false" ht="15" hidden="false" customHeight="true" outlineLevel="0" collapsed="false">
      <c r="A122" s="18" t="n">
        <v>121</v>
      </c>
      <c r="B122" s="18" t="s">
        <v>527</v>
      </c>
      <c r="C122" s="18" t="s">
        <v>528</v>
      </c>
      <c r="D122" s="18" t="s">
        <v>531</v>
      </c>
      <c r="E122" s="24" t="s">
        <v>9</v>
      </c>
      <c r="F122" s="18" t="s">
        <v>532</v>
      </c>
      <c r="G122" s="18"/>
      <c r="H122" s="18"/>
      <c r="I122" s="18"/>
      <c r="J122" s="18" t="s">
        <v>112</v>
      </c>
      <c r="K122" s="18"/>
    </row>
    <row r="123" customFormat="false" ht="15" hidden="false" customHeight="true" outlineLevel="0" collapsed="false">
      <c r="A123" s="18" t="n">
        <v>122</v>
      </c>
      <c r="B123" s="18" t="s">
        <v>527</v>
      </c>
      <c r="C123" s="18" t="s">
        <v>528</v>
      </c>
      <c r="D123" s="18" t="s">
        <v>533</v>
      </c>
      <c r="E123" s="24" t="s">
        <v>9</v>
      </c>
      <c r="F123" s="18" t="s">
        <v>534</v>
      </c>
      <c r="G123" s="18"/>
      <c r="H123" s="18"/>
      <c r="I123" s="18"/>
      <c r="J123" s="18" t="s">
        <v>118</v>
      </c>
      <c r="K123" s="18"/>
    </row>
    <row r="124" customFormat="false" ht="15" hidden="false" customHeight="true" outlineLevel="0" collapsed="false">
      <c r="A124" s="18" t="n">
        <v>123</v>
      </c>
      <c r="B124" s="18" t="s">
        <v>527</v>
      </c>
      <c r="C124" s="18" t="s">
        <v>528</v>
      </c>
      <c r="D124" s="18" t="s">
        <v>535</v>
      </c>
      <c r="E124" s="24" t="s">
        <v>9</v>
      </c>
      <c r="F124" s="18" t="s">
        <v>536</v>
      </c>
      <c r="G124" s="18"/>
      <c r="H124" s="18"/>
      <c r="I124" s="18"/>
      <c r="J124" s="18" t="s">
        <v>124</v>
      </c>
      <c r="K124" s="18"/>
    </row>
    <row r="125" customFormat="false" ht="15" hidden="false" customHeight="true" outlineLevel="0" collapsed="false">
      <c r="A125" s="18" t="n">
        <v>124</v>
      </c>
      <c r="B125" s="18" t="s">
        <v>527</v>
      </c>
      <c r="C125" s="18" t="s">
        <v>528</v>
      </c>
      <c r="D125" s="18" t="s">
        <v>537</v>
      </c>
      <c r="E125" s="24" t="s">
        <v>9</v>
      </c>
      <c r="F125" s="18" t="s">
        <v>538</v>
      </c>
      <c r="G125" s="18"/>
      <c r="H125" s="18"/>
      <c r="I125" s="18"/>
      <c r="J125" s="18" t="s">
        <v>129</v>
      </c>
      <c r="K125" s="18"/>
    </row>
    <row r="126" customFormat="false" ht="15" hidden="false" customHeight="true" outlineLevel="0" collapsed="false">
      <c r="A126" s="18" t="n">
        <v>125</v>
      </c>
      <c r="B126" s="18" t="s">
        <v>527</v>
      </c>
      <c r="C126" s="18" t="s">
        <v>528</v>
      </c>
      <c r="D126" s="18" t="s">
        <v>539</v>
      </c>
      <c r="E126" s="24" t="s">
        <v>9</v>
      </c>
      <c r="F126" s="18" t="s">
        <v>540</v>
      </c>
      <c r="G126" s="18"/>
      <c r="H126" s="18"/>
      <c r="I126" s="18"/>
      <c r="J126" s="18" t="s">
        <v>135</v>
      </c>
      <c r="K126" s="18"/>
    </row>
    <row r="127" customFormat="false" ht="15" hidden="false" customHeight="true" outlineLevel="0" collapsed="false">
      <c r="A127" s="18" t="n">
        <v>126</v>
      </c>
      <c r="B127" s="18" t="s">
        <v>527</v>
      </c>
      <c r="C127" s="18" t="s">
        <v>528</v>
      </c>
      <c r="D127" s="18" t="s">
        <v>541</v>
      </c>
      <c r="E127" s="24" t="s">
        <v>9</v>
      </c>
      <c r="F127" s="18" t="s">
        <v>542</v>
      </c>
      <c r="G127" s="18"/>
      <c r="H127" s="18"/>
      <c r="I127" s="18"/>
      <c r="J127" s="18" t="s">
        <v>543</v>
      </c>
      <c r="K127" s="18"/>
    </row>
    <row r="128" customFormat="false" ht="15" hidden="false" customHeight="true" outlineLevel="0" collapsed="false">
      <c r="A128" s="18" t="n">
        <v>127</v>
      </c>
      <c r="B128" s="18" t="s">
        <v>527</v>
      </c>
      <c r="C128" s="18" t="s">
        <v>528</v>
      </c>
      <c r="D128" s="18" t="s">
        <v>544</v>
      </c>
      <c r="E128" s="24" t="s">
        <v>9</v>
      </c>
      <c r="F128" s="18" t="s">
        <v>545</v>
      </c>
      <c r="G128" s="18"/>
      <c r="H128" s="18"/>
      <c r="I128" s="18"/>
      <c r="J128" s="18" t="s">
        <v>546</v>
      </c>
      <c r="K128" s="18"/>
    </row>
    <row r="129" customFormat="false" ht="15" hidden="false" customHeight="true" outlineLevel="0" collapsed="false">
      <c r="A129" s="18" t="n">
        <v>128</v>
      </c>
      <c r="B129" s="18" t="s">
        <v>527</v>
      </c>
      <c r="C129" s="18" t="s">
        <v>528</v>
      </c>
      <c r="D129" s="18" t="s">
        <v>547</v>
      </c>
      <c r="E129" s="24" t="s">
        <v>9</v>
      </c>
      <c r="F129" s="18" t="s">
        <v>548</v>
      </c>
      <c r="G129" s="18"/>
      <c r="H129" s="18"/>
      <c r="I129" s="18"/>
      <c r="J129" s="18" t="s">
        <v>549</v>
      </c>
      <c r="K129" s="18"/>
    </row>
    <row r="130" customFormat="false" ht="15" hidden="false" customHeight="true" outlineLevel="0" collapsed="false">
      <c r="A130" s="18" t="n">
        <v>129</v>
      </c>
      <c r="B130" s="18" t="s">
        <v>527</v>
      </c>
      <c r="C130" s="18" t="s">
        <v>528</v>
      </c>
      <c r="D130" s="18" t="s">
        <v>550</v>
      </c>
      <c r="E130" s="24" t="s">
        <v>9</v>
      </c>
      <c r="F130" s="18" t="s">
        <v>551</v>
      </c>
      <c r="G130" s="18"/>
      <c r="H130" s="18"/>
      <c r="I130" s="18"/>
      <c r="J130" s="18" t="s">
        <v>552</v>
      </c>
      <c r="K130" s="18"/>
    </row>
    <row r="131" customFormat="false" ht="15" hidden="false" customHeight="true" outlineLevel="0" collapsed="false">
      <c r="A131" s="18" t="n">
        <v>130</v>
      </c>
      <c r="B131" s="18" t="s">
        <v>527</v>
      </c>
      <c r="C131" s="18" t="s">
        <v>528</v>
      </c>
      <c r="D131" s="18" t="s">
        <v>553</v>
      </c>
      <c r="E131" s="24" t="s">
        <v>9</v>
      </c>
      <c r="F131" s="18" t="s">
        <v>554</v>
      </c>
      <c r="G131" s="18"/>
      <c r="H131" s="18"/>
      <c r="I131" s="18"/>
      <c r="J131" s="18" t="s">
        <v>555</v>
      </c>
      <c r="K131" s="18"/>
    </row>
    <row r="132" customFormat="false" ht="15" hidden="false" customHeight="true" outlineLevel="0" collapsed="false">
      <c r="A132" s="18" t="n">
        <v>131</v>
      </c>
      <c r="B132" s="18" t="s">
        <v>527</v>
      </c>
      <c r="C132" s="18" t="s">
        <v>528</v>
      </c>
      <c r="D132" s="18" t="s">
        <v>556</v>
      </c>
      <c r="E132" s="24" t="s">
        <v>9</v>
      </c>
      <c r="F132" s="18" t="s">
        <v>557</v>
      </c>
      <c r="G132" s="18"/>
      <c r="H132" s="18"/>
      <c r="I132" s="18"/>
      <c r="J132" s="18" t="s">
        <v>558</v>
      </c>
      <c r="K132" s="18"/>
    </row>
    <row r="133" customFormat="false" ht="15" hidden="false" customHeight="true" outlineLevel="0" collapsed="false">
      <c r="A133" s="18" t="n">
        <v>132</v>
      </c>
      <c r="B133" s="18" t="s">
        <v>527</v>
      </c>
      <c r="C133" s="18" t="s">
        <v>528</v>
      </c>
      <c r="D133" s="18" t="s">
        <v>559</v>
      </c>
      <c r="E133" s="24" t="s">
        <v>9</v>
      </c>
      <c r="F133" s="18" t="s">
        <v>560</v>
      </c>
      <c r="G133" s="18"/>
      <c r="H133" s="18"/>
      <c r="I133" s="18"/>
      <c r="J133" s="18" t="s">
        <v>561</v>
      </c>
      <c r="K133" s="18"/>
    </row>
    <row r="134" customFormat="false" ht="15" hidden="false" customHeight="true" outlineLevel="0" collapsed="false">
      <c r="A134" s="18" t="n">
        <v>133</v>
      </c>
      <c r="B134" s="18" t="s">
        <v>527</v>
      </c>
      <c r="C134" s="18" t="s">
        <v>528</v>
      </c>
      <c r="D134" s="18" t="s">
        <v>562</v>
      </c>
      <c r="E134" s="24" t="s">
        <v>9</v>
      </c>
      <c r="F134" s="18" t="s">
        <v>563</v>
      </c>
      <c r="G134" s="18"/>
      <c r="H134" s="18"/>
      <c r="I134" s="18"/>
      <c r="J134" s="18" t="s">
        <v>564</v>
      </c>
      <c r="K134" s="18"/>
    </row>
    <row r="135" customFormat="false" ht="15" hidden="false" customHeight="true" outlineLevel="0" collapsed="false">
      <c r="A135" s="18" t="n">
        <v>134</v>
      </c>
      <c r="B135" s="18" t="s">
        <v>527</v>
      </c>
      <c r="C135" s="18" t="s">
        <v>528</v>
      </c>
      <c r="D135" s="18" t="s">
        <v>565</v>
      </c>
      <c r="E135" s="24" t="s">
        <v>9</v>
      </c>
      <c r="F135" s="18" t="s">
        <v>566</v>
      </c>
      <c r="G135" s="18"/>
      <c r="H135" s="18"/>
      <c r="I135" s="18"/>
      <c r="J135" s="18" t="s">
        <v>567</v>
      </c>
      <c r="K135" s="18"/>
    </row>
    <row r="136" customFormat="false" ht="15" hidden="false" customHeight="true" outlineLevel="0" collapsed="false">
      <c r="A136" s="18" t="n">
        <v>135</v>
      </c>
      <c r="B136" s="18" t="s">
        <v>527</v>
      </c>
      <c r="C136" s="18" t="s">
        <v>528</v>
      </c>
      <c r="D136" s="18" t="s">
        <v>568</v>
      </c>
      <c r="E136" s="24" t="s">
        <v>9</v>
      </c>
      <c r="F136" s="18" t="s">
        <v>569</v>
      </c>
      <c r="G136" s="18"/>
      <c r="H136" s="18"/>
      <c r="I136" s="18"/>
      <c r="J136" s="18" t="s">
        <v>570</v>
      </c>
      <c r="K136" s="18"/>
    </row>
    <row r="137" customFormat="false" ht="15" hidden="false" customHeight="true" outlineLevel="0" collapsed="false">
      <c r="A137" s="18" t="n">
        <v>136</v>
      </c>
      <c r="B137" s="18" t="s">
        <v>527</v>
      </c>
      <c r="C137" s="18" t="s">
        <v>571</v>
      </c>
      <c r="D137" s="18" t="s">
        <v>572</v>
      </c>
      <c r="E137" s="24" t="s">
        <v>9</v>
      </c>
      <c r="F137" s="18" t="s">
        <v>573</v>
      </c>
      <c r="G137" s="18"/>
      <c r="H137" s="18"/>
      <c r="I137" s="18"/>
      <c r="J137" s="18" t="s">
        <v>141</v>
      </c>
      <c r="K137" s="18"/>
    </row>
    <row r="138" customFormat="false" ht="15" hidden="false" customHeight="true" outlineLevel="0" collapsed="false">
      <c r="A138" s="18" t="n">
        <v>137</v>
      </c>
      <c r="B138" s="18" t="s">
        <v>527</v>
      </c>
      <c r="C138" s="18" t="s">
        <v>571</v>
      </c>
      <c r="D138" s="18" t="s">
        <v>574</v>
      </c>
      <c r="E138" s="24" t="s">
        <v>9</v>
      </c>
      <c r="F138" s="18" t="s">
        <v>575</v>
      </c>
      <c r="G138" s="18"/>
      <c r="H138" s="18"/>
      <c r="I138" s="18"/>
      <c r="J138" s="18" t="s">
        <v>146</v>
      </c>
      <c r="K138" s="18"/>
    </row>
    <row r="139" customFormat="false" ht="15" hidden="false" customHeight="true" outlineLevel="0" collapsed="false">
      <c r="A139" s="18" t="n">
        <v>138</v>
      </c>
      <c r="B139" s="18" t="s">
        <v>527</v>
      </c>
      <c r="C139" s="18" t="s">
        <v>571</v>
      </c>
      <c r="D139" s="18" t="s">
        <v>576</v>
      </c>
      <c r="E139" s="24" t="s">
        <v>9</v>
      </c>
      <c r="F139" s="18" t="s">
        <v>577</v>
      </c>
      <c r="G139" s="18"/>
      <c r="H139" s="18"/>
      <c r="I139" s="18"/>
      <c r="J139" s="18" t="s">
        <v>578</v>
      </c>
      <c r="K139" s="18"/>
    </row>
    <row r="140" customFormat="false" ht="15" hidden="false" customHeight="true" outlineLevel="0" collapsed="false">
      <c r="A140" s="18" t="n">
        <v>139</v>
      </c>
      <c r="B140" s="18" t="s">
        <v>527</v>
      </c>
      <c r="C140" s="18" t="s">
        <v>571</v>
      </c>
      <c r="D140" s="18" t="s">
        <v>579</v>
      </c>
      <c r="E140" s="24" t="s">
        <v>9</v>
      </c>
      <c r="F140" s="18" t="s">
        <v>580</v>
      </c>
      <c r="G140" s="18"/>
      <c r="H140" s="18"/>
      <c r="I140" s="18"/>
      <c r="J140" s="18" t="s">
        <v>581</v>
      </c>
      <c r="K140" s="18"/>
    </row>
    <row r="141" customFormat="false" ht="15" hidden="false" customHeight="true" outlineLevel="0" collapsed="false">
      <c r="A141" s="18" t="n">
        <v>140</v>
      </c>
      <c r="B141" s="18" t="s">
        <v>527</v>
      </c>
      <c r="C141" s="18" t="s">
        <v>571</v>
      </c>
      <c r="D141" s="18" t="s">
        <v>582</v>
      </c>
      <c r="E141" s="24" t="s">
        <v>9</v>
      </c>
      <c r="F141" s="18" t="s">
        <v>583</v>
      </c>
      <c r="G141" s="18"/>
      <c r="H141" s="18"/>
      <c r="I141" s="18"/>
      <c r="J141" s="18" t="s">
        <v>584</v>
      </c>
      <c r="K141" s="18"/>
    </row>
    <row r="142" customFormat="false" ht="15" hidden="false" customHeight="true" outlineLevel="0" collapsed="false">
      <c r="A142" s="18" t="n">
        <v>141</v>
      </c>
      <c r="B142" s="18" t="s">
        <v>527</v>
      </c>
      <c r="C142" s="18" t="s">
        <v>571</v>
      </c>
      <c r="D142" s="18" t="s">
        <v>585</v>
      </c>
      <c r="E142" s="24" t="s">
        <v>9</v>
      </c>
      <c r="F142" s="18" t="s">
        <v>586</v>
      </c>
      <c r="G142" s="18"/>
      <c r="H142" s="18"/>
      <c r="I142" s="18"/>
      <c r="J142" s="18" t="s">
        <v>587</v>
      </c>
      <c r="K142" s="18"/>
    </row>
    <row r="143" customFormat="false" ht="15" hidden="false" customHeight="true" outlineLevel="0" collapsed="false">
      <c r="A143" s="18" t="n">
        <v>142</v>
      </c>
      <c r="B143" s="18" t="s">
        <v>527</v>
      </c>
      <c r="C143" s="18" t="s">
        <v>571</v>
      </c>
      <c r="D143" s="18" t="s">
        <v>588</v>
      </c>
      <c r="E143" s="24" t="s">
        <v>9</v>
      </c>
      <c r="F143" s="18" t="s">
        <v>589</v>
      </c>
      <c r="G143" s="18"/>
      <c r="H143" s="18"/>
      <c r="I143" s="18"/>
      <c r="J143" s="18" t="s">
        <v>590</v>
      </c>
      <c r="K143" s="18"/>
    </row>
    <row r="144" customFormat="false" ht="15" hidden="false" customHeight="true" outlineLevel="0" collapsed="false">
      <c r="A144" s="18" t="n">
        <v>143</v>
      </c>
      <c r="B144" s="18" t="s">
        <v>527</v>
      </c>
      <c r="C144" s="18" t="s">
        <v>571</v>
      </c>
      <c r="D144" s="18" t="s">
        <v>591</v>
      </c>
      <c r="E144" s="24" t="s">
        <v>9</v>
      </c>
      <c r="F144" s="18" t="s">
        <v>592</v>
      </c>
      <c r="G144" s="18"/>
      <c r="H144" s="18"/>
      <c r="I144" s="18"/>
      <c r="J144" s="18" t="s">
        <v>593</v>
      </c>
      <c r="K144" s="18"/>
    </row>
    <row r="145" customFormat="false" ht="15" hidden="false" customHeight="true" outlineLevel="0" collapsed="false">
      <c r="A145" s="18" t="n">
        <v>144</v>
      </c>
      <c r="B145" s="18" t="s">
        <v>527</v>
      </c>
      <c r="C145" s="18" t="s">
        <v>571</v>
      </c>
      <c r="D145" s="18" t="s">
        <v>594</v>
      </c>
      <c r="E145" s="24" t="s">
        <v>9</v>
      </c>
      <c r="F145" s="18" t="s">
        <v>595</v>
      </c>
      <c r="G145" s="18"/>
      <c r="H145" s="18"/>
      <c r="I145" s="18"/>
      <c r="J145" s="18" t="s">
        <v>596</v>
      </c>
      <c r="K145" s="18"/>
    </row>
    <row r="146" customFormat="false" ht="15" hidden="false" customHeight="true" outlineLevel="0" collapsed="false">
      <c r="A146" s="18" t="n">
        <v>145</v>
      </c>
      <c r="B146" s="18" t="s">
        <v>527</v>
      </c>
      <c r="C146" s="18" t="s">
        <v>571</v>
      </c>
      <c r="D146" s="18" t="s">
        <v>597</v>
      </c>
      <c r="E146" s="24" t="s">
        <v>9</v>
      </c>
      <c r="F146" s="18" t="s">
        <v>598</v>
      </c>
      <c r="G146" s="18"/>
      <c r="H146" s="18"/>
      <c r="I146" s="18"/>
      <c r="J146" s="18" t="s">
        <v>599</v>
      </c>
      <c r="K146" s="18"/>
    </row>
    <row r="147" customFormat="false" ht="15" hidden="false" customHeight="true" outlineLevel="0" collapsed="false">
      <c r="A147" s="18" t="n">
        <v>146</v>
      </c>
      <c r="B147" s="18" t="s">
        <v>527</v>
      </c>
      <c r="C147" s="18" t="s">
        <v>571</v>
      </c>
      <c r="D147" s="18" t="s">
        <v>600</v>
      </c>
      <c r="E147" s="24" t="s">
        <v>9</v>
      </c>
      <c r="F147" s="18" t="s">
        <v>601</v>
      </c>
      <c r="G147" s="18"/>
      <c r="H147" s="18"/>
      <c r="I147" s="18"/>
      <c r="J147" s="18" t="s">
        <v>602</v>
      </c>
      <c r="K147" s="18"/>
    </row>
    <row r="148" customFormat="false" ht="15" hidden="false" customHeight="true" outlineLevel="0" collapsed="false">
      <c r="A148" s="18" t="n">
        <v>147</v>
      </c>
      <c r="B148" s="18" t="s">
        <v>527</v>
      </c>
      <c r="C148" s="18" t="s">
        <v>603</v>
      </c>
      <c r="D148" s="18" t="s">
        <v>604</v>
      </c>
      <c r="E148" s="24" t="s">
        <v>9</v>
      </c>
      <c r="F148" s="18" t="s">
        <v>605</v>
      </c>
      <c r="G148" s="18"/>
      <c r="H148" s="18"/>
      <c r="I148" s="18"/>
      <c r="J148" s="18" t="s">
        <v>606</v>
      </c>
      <c r="K148" s="18"/>
    </row>
    <row r="149" customFormat="false" ht="15" hidden="false" customHeight="true" outlineLevel="0" collapsed="false">
      <c r="A149" s="18" t="n">
        <v>148</v>
      </c>
      <c r="B149" s="18" t="s">
        <v>527</v>
      </c>
      <c r="C149" s="18" t="s">
        <v>603</v>
      </c>
      <c r="D149" s="18" t="s">
        <v>607</v>
      </c>
      <c r="E149" s="24" t="s">
        <v>9</v>
      </c>
      <c r="F149" s="18" t="s">
        <v>608</v>
      </c>
      <c r="G149" s="18"/>
      <c r="H149" s="18"/>
      <c r="I149" s="18"/>
      <c r="J149" s="18" t="s">
        <v>158</v>
      </c>
      <c r="K149" s="18"/>
    </row>
    <row r="150" customFormat="false" ht="15" hidden="false" customHeight="true" outlineLevel="0" collapsed="false">
      <c r="A150" s="18" t="n">
        <v>149</v>
      </c>
      <c r="B150" s="18" t="s">
        <v>527</v>
      </c>
      <c r="C150" s="18" t="s">
        <v>603</v>
      </c>
      <c r="D150" s="18" t="s">
        <v>609</v>
      </c>
      <c r="E150" s="24" t="s">
        <v>9</v>
      </c>
      <c r="F150" s="18" t="s">
        <v>610</v>
      </c>
      <c r="G150" s="18"/>
      <c r="H150" s="18"/>
      <c r="I150" s="18"/>
      <c r="J150" s="18" t="s">
        <v>611</v>
      </c>
      <c r="K150" s="18"/>
    </row>
    <row r="151" customFormat="false" ht="15" hidden="false" customHeight="true" outlineLevel="0" collapsed="false">
      <c r="A151" s="18" t="n">
        <v>150</v>
      </c>
      <c r="B151" s="18" t="s">
        <v>527</v>
      </c>
      <c r="C151" s="18" t="s">
        <v>603</v>
      </c>
      <c r="D151" s="18" t="s">
        <v>612</v>
      </c>
      <c r="E151" s="24" t="s">
        <v>9</v>
      </c>
      <c r="F151" s="18" t="s">
        <v>613</v>
      </c>
      <c r="G151" s="18"/>
      <c r="H151" s="18"/>
      <c r="I151" s="18"/>
      <c r="J151" s="18" t="s">
        <v>614</v>
      </c>
      <c r="K151" s="18"/>
    </row>
    <row r="152" customFormat="false" ht="15" hidden="false" customHeight="true" outlineLevel="0" collapsed="false">
      <c r="A152" s="18" t="n">
        <v>151</v>
      </c>
      <c r="B152" s="18" t="s">
        <v>527</v>
      </c>
      <c r="C152" s="18" t="s">
        <v>603</v>
      </c>
      <c r="D152" s="18" t="s">
        <v>615</v>
      </c>
      <c r="E152" s="24" t="s">
        <v>9</v>
      </c>
      <c r="F152" s="18" t="s">
        <v>616</v>
      </c>
      <c r="G152" s="18"/>
      <c r="H152" s="18"/>
      <c r="I152" s="18"/>
      <c r="J152" s="18" t="s">
        <v>617</v>
      </c>
      <c r="K152" s="18"/>
    </row>
    <row r="153" customFormat="false" ht="15" hidden="false" customHeight="true" outlineLevel="0" collapsed="false">
      <c r="A153" s="18" t="n">
        <v>152</v>
      </c>
      <c r="B153" s="18" t="s">
        <v>527</v>
      </c>
      <c r="C153" s="18" t="s">
        <v>603</v>
      </c>
      <c r="D153" s="18" t="s">
        <v>618</v>
      </c>
      <c r="E153" s="24" t="s">
        <v>9</v>
      </c>
      <c r="F153" s="18" t="s">
        <v>619</v>
      </c>
      <c r="G153" s="18"/>
      <c r="H153" s="18"/>
      <c r="I153" s="18"/>
      <c r="J153" s="18" t="s">
        <v>620</v>
      </c>
      <c r="K153" s="18"/>
    </row>
    <row r="154" customFormat="false" ht="15" hidden="false" customHeight="true" outlineLevel="0" collapsed="false">
      <c r="A154" s="18" t="n">
        <v>153</v>
      </c>
      <c r="B154" s="18" t="s">
        <v>527</v>
      </c>
      <c r="C154" s="18" t="s">
        <v>603</v>
      </c>
      <c r="D154" s="18" t="s">
        <v>621</v>
      </c>
      <c r="E154" s="24" t="s">
        <v>9</v>
      </c>
      <c r="F154" s="18" t="s">
        <v>622</v>
      </c>
      <c r="G154" s="18"/>
      <c r="H154" s="18"/>
      <c r="I154" s="18"/>
      <c r="J154" s="18" t="s">
        <v>623</v>
      </c>
      <c r="K154" s="18"/>
    </row>
    <row r="155" customFormat="false" ht="15" hidden="false" customHeight="true" outlineLevel="0" collapsed="false">
      <c r="A155" s="18" t="n">
        <v>154</v>
      </c>
      <c r="B155" s="18" t="s">
        <v>527</v>
      </c>
      <c r="C155" s="18" t="s">
        <v>603</v>
      </c>
      <c r="D155" s="18" t="s">
        <v>624</v>
      </c>
      <c r="E155" s="24" t="s">
        <v>9</v>
      </c>
      <c r="F155" s="18" t="s">
        <v>625</v>
      </c>
      <c r="G155" s="18"/>
      <c r="H155" s="18"/>
      <c r="I155" s="18"/>
      <c r="J155" s="18" t="s">
        <v>626</v>
      </c>
      <c r="K155" s="18"/>
    </row>
    <row r="156" customFormat="false" ht="15" hidden="false" customHeight="true" outlineLevel="0" collapsed="false">
      <c r="A156" s="18" t="n">
        <v>155</v>
      </c>
      <c r="B156" s="18" t="s">
        <v>527</v>
      </c>
      <c r="C156" s="18" t="s">
        <v>603</v>
      </c>
      <c r="D156" s="18" t="s">
        <v>627</v>
      </c>
      <c r="E156" s="24" t="s">
        <v>9</v>
      </c>
      <c r="F156" s="18" t="s">
        <v>628</v>
      </c>
      <c r="G156" s="18"/>
      <c r="H156" s="18"/>
      <c r="I156" s="18"/>
      <c r="J156" s="18" t="s">
        <v>629</v>
      </c>
      <c r="K156" s="18"/>
    </row>
    <row r="157" customFormat="false" ht="15" hidden="false" customHeight="true" outlineLevel="0" collapsed="false">
      <c r="A157" s="18" t="n">
        <v>156</v>
      </c>
      <c r="B157" s="18" t="s">
        <v>527</v>
      </c>
      <c r="C157" s="18" t="s">
        <v>603</v>
      </c>
      <c r="D157" s="18" t="s">
        <v>630</v>
      </c>
      <c r="E157" s="24" t="s">
        <v>9</v>
      </c>
      <c r="F157" s="18" t="s">
        <v>631</v>
      </c>
      <c r="G157" s="18"/>
      <c r="H157" s="18"/>
      <c r="I157" s="18"/>
      <c r="J157" s="18" t="s">
        <v>632</v>
      </c>
      <c r="K157" s="18"/>
    </row>
    <row r="158" customFormat="false" ht="23.25" hidden="false" customHeight="true" outlineLevel="0" collapsed="false">
      <c r="A158" s="18" t="n">
        <v>157</v>
      </c>
      <c r="B158" s="18" t="s">
        <v>527</v>
      </c>
      <c r="C158" s="18" t="s">
        <v>603</v>
      </c>
      <c r="D158" s="18" t="s">
        <v>633</v>
      </c>
      <c r="E158" s="24" t="s">
        <v>9</v>
      </c>
      <c r="F158" s="18" t="s">
        <v>634</v>
      </c>
      <c r="G158" s="18"/>
      <c r="H158" s="18"/>
      <c r="I158" s="18"/>
      <c r="J158" s="18" t="s">
        <v>152</v>
      </c>
      <c r="K158" s="18" t="s">
        <v>635</v>
      </c>
    </row>
    <row r="159" customFormat="false" ht="15" hidden="false" customHeight="true" outlineLevel="0" collapsed="false">
      <c r="A159" s="18" t="n">
        <v>158</v>
      </c>
      <c r="B159" s="18" t="s">
        <v>527</v>
      </c>
      <c r="C159" s="18" t="s">
        <v>636</v>
      </c>
      <c r="D159" s="18" t="s">
        <v>637</v>
      </c>
      <c r="E159" s="24" t="s">
        <v>9</v>
      </c>
      <c r="F159" s="18" t="s">
        <v>638</v>
      </c>
      <c r="G159" s="18"/>
      <c r="H159" s="18"/>
      <c r="I159" s="18"/>
      <c r="J159" s="18" t="s">
        <v>164</v>
      </c>
      <c r="K159" s="18"/>
    </row>
    <row r="160" customFormat="false" ht="15" hidden="false" customHeight="true" outlineLevel="0" collapsed="false">
      <c r="A160" s="18" t="n">
        <v>159</v>
      </c>
      <c r="B160" s="18" t="s">
        <v>527</v>
      </c>
      <c r="C160" s="18" t="s">
        <v>636</v>
      </c>
      <c r="D160" s="18" t="s">
        <v>639</v>
      </c>
      <c r="E160" s="24" t="s">
        <v>9</v>
      </c>
      <c r="F160" s="18" t="s">
        <v>640</v>
      </c>
      <c r="G160" s="18"/>
      <c r="H160" s="18"/>
      <c r="I160" s="18"/>
      <c r="J160" s="18" t="s">
        <v>641</v>
      </c>
      <c r="K160" s="18"/>
    </row>
    <row r="161" customFormat="false" ht="15" hidden="false" customHeight="true" outlineLevel="0" collapsed="false">
      <c r="A161" s="18" t="n">
        <v>160</v>
      </c>
      <c r="B161" s="18" t="s">
        <v>527</v>
      </c>
      <c r="C161" s="18" t="s">
        <v>636</v>
      </c>
      <c r="D161" s="18" t="s">
        <v>642</v>
      </c>
      <c r="E161" s="24" t="s">
        <v>9</v>
      </c>
      <c r="F161" s="18" t="s">
        <v>643</v>
      </c>
      <c r="G161" s="18"/>
      <c r="H161" s="18"/>
      <c r="I161" s="18"/>
      <c r="J161" s="18" t="s">
        <v>170</v>
      </c>
      <c r="K161" s="18"/>
    </row>
    <row r="162" customFormat="false" ht="15" hidden="false" customHeight="true" outlineLevel="0" collapsed="false">
      <c r="A162" s="18" t="n">
        <v>161</v>
      </c>
      <c r="B162" s="18" t="s">
        <v>527</v>
      </c>
      <c r="C162" s="18" t="s">
        <v>636</v>
      </c>
      <c r="D162" s="18" t="s">
        <v>571</v>
      </c>
      <c r="E162" s="24" t="s">
        <v>9</v>
      </c>
      <c r="F162" s="18" t="s">
        <v>644</v>
      </c>
      <c r="G162" s="18"/>
      <c r="H162" s="18"/>
      <c r="I162" s="18"/>
      <c r="J162" s="18" t="s">
        <v>175</v>
      </c>
      <c r="K162" s="18"/>
    </row>
    <row r="163" customFormat="false" ht="15" hidden="false" customHeight="true" outlineLevel="0" collapsed="false">
      <c r="A163" s="18" t="n">
        <v>162</v>
      </c>
      <c r="B163" s="18" t="s">
        <v>527</v>
      </c>
      <c r="C163" s="18" t="s">
        <v>636</v>
      </c>
      <c r="D163" s="18" t="s">
        <v>645</v>
      </c>
      <c r="E163" s="24" t="s">
        <v>9</v>
      </c>
      <c r="F163" s="18" t="s">
        <v>646</v>
      </c>
      <c r="G163" s="18"/>
      <c r="H163" s="18"/>
      <c r="I163" s="18"/>
      <c r="J163" s="18" t="s">
        <v>180</v>
      </c>
      <c r="K163" s="18"/>
    </row>
    <row r="164" customFormat="false" ht="15" hidden="false" customHeight="true" outlineLevel="0" collapsed="false">
      <c r="A164" s="18" t="n">
        <v>163</v>
      </c>
      <c r="B164" s="18" t="s">
        <v>527</v>
      </c>
      <c r="C164" s="18" t="s">
        <v>636</v>
      </c>
      <c r="D164" s="18" t="s">
        <v>647</v>
      </c>
      <c r="E164" s="24" t="s">
        <v>9</v>
      </c>
      <c r="F164" s="18" t="s">
        <v>648</v>
      </c>
      <c r="G164" s="18"/>
      <c r="H164" s="18"/>
      <c r="I164" s="18"/>
      <c r="J164" s="18" t="s">
        <v>185</v>
      </c>
      <c r="K164" s="18"/>
    </row>
    <row r="165" customFormat="false" ht="15" hidden="false" customHeight="true" outlineLevel="0" collapsed="false">
      <c r="A165" s="18" t="n">
        <v>164</v>
      </c>
      <c r="B165" s="18" t="s">
        <v>527</v>
      </c>
      <c r="C165" s="18" t="s">
        <v>636</v>
      </c>
      <c r="D165" s="18" t="s">
        <v>649</v>
      </c>
      <c r="E165" s="24" t="s">
        <v>9</v>
      </c>
      <c r="F165" s="18" t="s">
        <v>650</v>
      </c>
      <c r="G165" s="18"/>
      <c r="H165" s="18"/>
      <c r="I165" s="18"/>
      <c r="J165" s="18" t="s">
        <v>651</v>
      </c>
      <c r="K165" s="18"/>
    </row>
    <row r="166" customFormat="false" ht="15" hidden="false" customHeight="true" outlineLevel="0" collapsed="false">
      <c r="A166" s="18" t="n">
        <v>165</v>
      </c>
      <c r="B166" s="18" t="s">
        <v>527</v>
      </c>
      <c r="C166" s="18" t="s">
        <v>636</v>
      </c>
      <c r="D166" s="18" t="s">
        <v>652</v>
      </c>
      <c r="E166" s="24" t="s">
        <v>9</v>
      </c>
      <c r="F166" s="18" t="s">
        <v>653</v>
      </c>
      <c r="G166" s="18"/>
      <c r="H166" s="18"/>
      <c r="I166" s="18"/>
      <c r="J166" s="18" t="s">
        <v>654</v>
      </c>
      <c r="K166" s="18"/>
    </row>
    <row r="167" customFormat="false" ht="23.25" hidden="false" customHeight="true" outlineLevel="0" collapsed="false">
      <c r="A167" s="18" t="n">
        <v>166</v>
      </c>
      <c r="B167" s="18" t="s">
        <v>527</v>
      </c>
      <c r="C167" s="18" t="s">
        <v>655</v>
      </c>
      <c r="D167" s="18" t="s">
        <v>649</v>
      </c>
      <c r="E167" s="24" t="s">
        <v>9</v>
      </c>
      <c r="F167" s="18" t="s">
        <v>656</v>
      </c>
      <c r="G167" s="18"/>
      <c r="H167" s="18"/>
      <c r="I167" s="18"/>
      <c r="J167" s="18" t="s">
        <v>657</v>
      </c>
      <c r="K167" s="18" t="s">
        <v>658</v>
      </c>
    </row>
    <row r="168" customFormat="false" ht="23.25" hidden="false" customHeight="true" outlineLevel="0" collapsed="false">
      <c r="A168" s="18" t="n">
        <v>167</v>
      </c>
      <c r="B168" s="18" t="s">
        <v>527</v>
      </c>
      <c r="C168" s="18" t="s">
        <v>655</v>
      </c>
      <c r="D168" s="18" t="s">
        <v>637</v>
      </c>
      <c r="E168" s="24" t="s">
        <v>9</v>
      </c>
      <c r="F168" s="18" t="s">
        <v>659</v>
      </c>
      <c r="G168" s="18"/>
      <c r="H168" s="18"/>
      <c r="I168" s="18"/>
      <c r="J168" s="18" t="s">
        <v>660</v>
      </c>
      <c r="K168" s="18"/>
    </row>
    <row r="169" customFormat="false" ht="23.25" hidden="false" customHeight="true" outlineLevel="0" collapsed="false">
      <c r="A169" s="18" t="n">
        <v>168</v>
      </c>
      <c r="B169" s="18" t="s">
        <v>527</v>
      </c>
      <c r="C169" s="18" t="s">
        <v>655</v>
      </c>
      <c r="D169" s="18" t="s">
        <v>637</v>
      </c>
      <c r="E169" s="24" t="s">
        <v>9</v>
      </c>
      <c r="F169" s="18" t="s">
        <v>661</v>
      </c>
      <c r="G169" s="18"/>
      <c r="H169" s="18"/>
      <c r="I169" s="18"/>
      <c r="J169" s="18" t="s">
        <v>662</v>
      </c>
      <c r="K169" s="18" t="s">
        <v>658</v>
      </c>
    </row>
    <row r="170" customFormat="false" ht="23.25" hidden="false" customHeight="true" outlineLevel="0" collapsed="false">
      <c r="A170" s="18" t="n">
        <v>169</v>
      </c>
      <c r="B170" s="18" t="s">
        <v>527</v>
      </c>
      <c r="C170" s="18" t="s">
        <v>655</v>
      </c>
      <c r="D170" s="18" t="s">
        <v>571</v>
      </c>
      <c r="E170" s="24" t="s">
        <v>9</v>
      </c>
      <c r="F170" s="18" t="s">
        <v>663</v>
      </c>
      <c r="G170" s="18"/>
      <c r="H170" s="18"/>
      <c r="I170" s="18"/>
      <c r="J170" s="18" t="s">
        <v>664</v>
      </c>
      <c r="K170" s="18" t="s">
        <v>658</v>
      </c>
    </row>
    <row r="171" customFormat="false" ht="23.25" hidden="false" customHeight="true" outlineLevel="0" collapsed="false">
      <c r="A171" s="18" t="n">
        <v>170</v>
      </c>
      <c r="B171" s="18" t="s">
        <v>527</v>
      </c>
      <c r="C171" s="18" t="s">
        <v>655</v>
      </c>
      <c r="D171" s="18" t="s">
        <v>642</v>
      </c>
      <c r="E171" s="24" t="s">
        <v>9</v>
      </c>
      <c r="F171" s="18" t="s">
        <v>665</v>
      </c>
      <c r="G171" s="18"/>
      <c r="H171" s="18"/>
      <c r="I171" s="18"/>
      <c r="J171" s="18" t="s">
        <v>666</v>
      </c>
      <c r="K171" s="18" t="s">
        <v>658</v>
      </c>
    </row>
    <row r="172" customFormat="false" ht="23.25" hidden="false" customHeight="true" outlineLevel="0" collapsed="false">
      <c r="A172" s="18" t="n">
        <v>171</v>
      </c>
      <c r="B172" s="18" t="s">
        <v>527</v>
      </c>
      <c r="C172" s="18" t="s">
        <v>655</v>
      </c>
      <c r="D172" s="18" t="s">
        <v>645</v>
      </c>
      <c r="E172" s="24" t="s">
        <v>9</v>
      </c>
      <c r="F172" s="18" t="s">
        <v>667</v>
      </c>
      <c r="G172" s="18"/>
      <c r="H172" s="18"/>
      <c r="I172" s="18"/>
      <c r="J172" s="18" t="s">
        <v>668</v>
      </c>
      <c r="K172" s="18" t="s">
        <v>658</v>
      </c>
    </row>
    <row r="173" customFormat="false" ht="23.25" hidden="false" customHeight="true" outlineLevel="0" collapsed="false">
      <c r="A173" s="18" t="n">
        <v>172</v>
      </c>
      <c r="B173" s="18" t="s">
        <v>527</v>
      </c>
      <c r="C173" s="18" t="s">
        <v>655</v>
      </c>
      <c r="D173" s="18" t="s">
        <v>647</v>
      </c>
      <c r="E173" s="24" t="s">
        <v>9</v>
      </c>
      <c r="F173" s="18" t="s">
        <v>669</v>
      </c>
      <c r="G173" s="18"/>
      <c r="H173" s="18"/>
      <c r="I173" s="18"/>
      <c r="J173" s="18" t="s">
        <v>670</v>
      </c>
      <c r="K173" s="18" t="s">
        <v>658</v>
      </c>
    </row>
    <row r="174" customFormat="false" ht="23.25" hidden="false" customHeight="true" outlineLevel="0" collapsed="false">
      <c r="A174" s="18" t="n">
        <v>173</v>
      </c>
      <c r="B174" s="18" t="s">
        <v>527</v>
      </c>
      <c r="C174" s="18" t="s">
        <v>655</v>
      </c>
      <c r="D174" s="18" t="s">
        <v>671</v>
      </c>
      <c r="E174" s="24" t="s">
        <v>9</v>
      </c>
      <c r="F174" s="18" t="s">
        <v>672</v>
      </c>
      <c r="G174" s="18"/>
      <c r="H174" s="18"/>
      <c r="I174" s="18"/>
      <c r="J174" s="18" t="s">
        <v>673</v>
      </c>
      <c r="K174" s="18"/>
    </row>
    <row r="175" customFormat="false" ht="23.25" hidden="false" customHeight="true" outlineLevel="0" collapsed="false">
      <c r="A175" s="18" t="n">
        <v>174</v>
      </c>
      <c r="B175" s="18" t="s">
        <v>527</v>
      </c>
      <c r="C175" s="18" t="s">
        <v>655</v>
      </c>
      <c r="D175" s="18" t="s">
        <v>639</v>
      </c>
      <c r="E175" s="24" t="s">
        <v>9</v>
      </c>
      <c r="F175" s="18" t="s">
        <v>674</v>
      </c>
      <c r="G175" s="18"/>
      <c r="H175" s="18"/>
      <c r="I175" s="18"/>
      <c r="J175" s="18" t="s">
        <v>675</v>
      </c>
      <c r="K175" s="18" t="s">
        <v>658</v>
      </c>
    </row>
    <row r="176" customFormat="false" ht="23.25" hidden="false" customHeight="true" outlineLevel="0" collapsed="false">
      <c r="A176" s="18" t="n">
        <v>175</v>
      </c>
      <c r="B176" s="18" t="s">
        <v>527</v>
      </c>
      <c r="C176" s="18" t="s">
        <v>655</v>
      </c>
      <c r="D176" s="18" t="s">
        <v>639</v>
      </c>
      <c r="E176" s="24" t="s">
        <v>9</v>
      </c>
      <c r="F176" s="18" t="s">
        <v>676</v>
      </c>
      <c r="G176" s="18"/>
      <c r="H176" s="18"/>
      <c r="I176" s="18"/>
      <c r="J176" s="18" t="s">
        <v>677</v>
      </c>
      <c r="K176" s="18"/>
    </row>
    <row r="177" customFormat="false" ht="23.25" hidden="false" customHeight="true" outlineLevel="0" collapsed="false">
      <c r="A177" s="18" t="n">
        <v>176</v>
      </c>
      <c r="B177" s="18" t="s">
        <v>527</v>
      </c>
      <c r="C177" s="18" t="s">
        <v>655</v>
      </c>
      <c r="D177" s="18" t="s">
        <v>642</v>
      </c>
      <c r="E177" s="24" t="s">
        <v>9</v>
      </c>
      <c r="F177" s="18" t="s">
        <v>678</v>
      </c>
      <c r="G177" s="18"/>
      <c r="H177" s="18"/>
      <c r="I177" s="18"/>
      <c r="J177" s="18" t="s">
        <v>679</v>
      </c>
      <c r="K177" s="18"/>
    </row>
    <row r="178" customFormat="false" ht="23.25" hidden="false" customHeight="true" outlineLevel="0" collapsed="false">
      <c r="A178" s="18" t="n">
        <v>177</v>
      </c>
      <c r="B178" s="18" t="s">
        <v>527</v>
      </c>
      <c r="C178" s="18" t="s">
        <v>655</v>
      </c>
      <c r="D178" s="18" t="s">
        <v>571</v>
      </c>
      <c r="E178" s="24" t="s">
        <v>9</v>
      </c>
      <c r="F178" s="18" t="s">
        <v>680</v>
      </c>
      <c r="G178" s="18"/>
      <c r="H178" s="18"/>
      <c r="I178" s="18"/>
      <c r="J178" s="18" t="s">
        <v>681</v>
      </c>
      <c r="K178" s="18"/>
    </row>
    <row r="179" customFormat="false" ht="23.25" hidden="false" customHeight="true" outlineLevel="0" collapsed="false">
      <c r="A179" s="18" t="n">
        <v>178</v>
      </c>
      <c r="B179" s="18" t="s">
        <v>527</v>
      </c>
      <c r="C179" s="18" t="s">
        <v>655</v>
      </c>
      <c r="D179" s="18" t="s">
        <v>645</v>
      </c>
      <c r="E179" s="24" t="s">
        <v>9</v>
      </c>
      <c r="F179" s="18" t="s">
        <v>682</v>
      </c>
      <c r="G179" s="18"/>
      <c r="H179" s="18"/>
      <c r="I179" s="18"/>
      <c r="J179" s="18" t="s">
        <v>683</v>
      </c>
      <c r="K179" s="18"/>
    </row>
    <row r="180" customFormat="false" ht="23.25" hidden="false" customHeight="true" outlineLevel="0" collapsed="false">
      <c r="A180" s="18" t="n">
        <v>179</v>
      </c>
      <c r="B180" s="18" t="s">
        <v>527</v>
      </c>
      <c r="C180" s="18" t="s">
        <v>655</v>
      </c>
      <c r="D180" s="18" t="s">
        <v>647</v>
      </c>
      <c r="E180" s="24" t="s">
        <v>9</v>
      </c>
      <c r="F180" s="18" t="s">
        <v>684</v>
      </c>
      <c r="G180" s="18"/>
      <c r="H180" s="18"/>
      <c r="I180" s="18"/>
      <c r="J180" s="18" t="s">
        <v>685</v>
      </c>
      <c r="K180" s="18"/>
    </row>
    <row r="181" customFormat="false" ht="23.25" hidden="false" customHeight="true" outlineLevel="0" collapsed="false">
      <c r="A181" s="18" t="n">
        <v>180</v>
      </c>
      <c r="B181" s="18" t="s">
        <v>527</v>
      </c>
      <c r="C181" s="18" t="s">
        <v>655</v>
      </c>
      <c r="D181" s="18" t="s">
        <v>649</v>
      </c>
      <c r="E181" s="24" t="s">
        <v>9</v>
      </c>
      <c r="F181" s="18" t="s">
        <v>686</v>
      </c>
      <c r="G181" s="18"/>
      <c r="H181" s="18"/>
      <c r="I181" s="18"/>
      <c r="J181" s="18" t="s">
        <v>687</v>
      </c>
      <c r="K181" s="18"/>
    </row>
    <row r="182" customFormat="false" ht="23.25" hidden="false" customHeight="true" outlineLevel="0" collapsed="false">
      <c r="A182" s="18" t="n">
        <v>181</v>
      </c>
      <c r="B182" s="18" t="s">
        <v>527</v>
      </c>
      <c r="C182" s="18" t="s">
        <v>655</v>
      </c>
      <c r="D182" s="18" t="s">
        <v>671</v>
      </c>
      <c r="E182" s="24" t="s">
        <v>9</v>
      </c>
      <c r="F182" s="18" t="s">
        <v>688</v>
      </c>
      <c r="G182" s="18"/>
      <c r="H182" s="18"/>
      <c r="I182" s="18"/>
      <c r="J182" s="18" t="s">
        <v>689</v>
      </c>
      <c r="K182" s="18"/>
    </row>
    <row r="183" customFormat="false" ht="15" hidden="false" customHeight="true" outlineLevel="0" collapsed="false">
      <c r="A183" s="18" t="n">
        <v>182</v>
      </c>
      <c r="B183" s="18" t="s">
        <v>527</v>
      </c>
      <c r="C183" s="18" t="s">
        <v>690</v>
      </c>
      <c r="D183" s="18" t="s">
        <v>637</v>
      </c>
      <c r="E183" s="24" t="s">
        <v>9</v>
      </c>
      <c r="F183" s="18" t="s">
        <v>691</v>
      </c>
      <c r="G183" s="18"/>
      <c r="H183" s="18"/>
      <c r="I183" s="18"/>
      <c r="J183" s="18" t="s">
        <v>257</v>
      </c>
      <c r="K183" s="18"/>
    </row>
    <row r="184" customFormat="false" ht="15" hidden="false" customHeight="true" outlineLevel="0" collapsed="false">
      <c r="A184" s="18" t="n">
        <v>183</v>
      </c>
      <c r="B184" s="18" t="s">
        <v>527</v>
      </c>
      <c r="C184" s="18" t="s">
        <v>690</v>
      </c>
      <c r="D184" s="18" t="s">
        <v>639</v>
      </c>
      <c r="E184" s="24" t="s">
        <v>9</v>
      </c>
      <c r="F184" s="18" t="s">
        <v>692</v>
      </c>
      <c r="G184" s="18"/>
      <c r="H184" s="18"/>
      <c r="I184" s="18"/>
      <c r="J184" s="18" t="s">
        <v>693</v>
      </c>
      <c r="K184" s="18"/>
    </row>
    <row r="185" customFormat="false" ht="15" hidden="false" customHeight="true" outlineLevel="0" collapsed="false">
      <c r="A185" s="18" t="n">
        <v>184</v>
      </c>
      <c r="B185" s="18" t="s">
        <v>527</v>
      </c>
      <c r="C185" s="18" t="s">
        <v>690</v>
      </c>
      <c r="D185" s="18" t="s">
        <v>642</v>
      </c>
      <c r="E185" s="24" t="s">
        <v>9</v>
      </c>
      <c r="F185" s="18" t="s">
        <v>694</v>
      </c>
      <c r="G185" s="18"/>
      <c r="H185" s="18"/>
      <c r="I185" s="18"/>
      <c r="J185" s="18" t="s">
        <v>262</v>
      </c>
      <c r="K185" s="18"/>
    </row>
    <row r="186" customFormat="false" ht="15" hidden="false" customHeight="true" outlineLevel="0" collapsed="false">
      <c r="A186" s="18" t="n">
        <v>185</v>
      </c>
      <c r="B186" s="18" t="s">
        <v>527</v>
      </c>
      <c r="C186" s="18" t="s">
        <v>690</v>
      </c>
      <c r="D186" s="18" t="s">
        <v>571</v>
      </c>
      <c r="E186" s="24" t="s">
        <v>9</v>
      </c>
      <c r="F186" s="18" t="s">
        <v>695</v>
      </c>
      <c r="G186" s="18"/>
      <c r="H186" s="18"/>
      <c r="I186" s="18"/>
      <c r="J186" s="18" t="s">
        <v>696</v>
      </c>
      <c r="K186" s="18"/>
    </row>
    <row r="187" customFormat="false" ht="15" hidden="false" customHeight="true" outlineLevel="0" collapsed="false">
      <c r="A187" s="18" t="n">
        <v>186</v>
      </c>
      <c r="B187" s="18" t="s">
        <v>527</v>
      </c>
      <c r="C187" s="18" t="s">
        <v>690</v>
      </c>
      <c r="D187" s="18" t="s">
        <v>645</v>
      </c>
      <c r="E187" s="24" t="s">
        <v>9</v>
      </c>
      <c r="F187" s="18" t="s">
        <v>697</v>
      </c>
      <c r="G187" s="18"/>
      <c r="H187" s="18"/>
      <c r="I187" s="18"/>
      <c r="J187" s="18" t="s">
        <v>283</v>
      </c>
      <c r="K187" s="18"/>
    </row>
    <row r="188" customFormat="false" ht="15" hidden="false" customHeight="true" outlineLevel="0" collapsed="false">
      <c r="A188" s="18" t="n">
        <v>187</v>
      </c>
      <c r="B188" s="18" t="s">
        <v>527</v>
      </c>
      <c r="C188" s="18" t="s">
        <v>690</v>
      </c>
      <c r="D188" s="18" t="s">
        <v>647</v>
      </c>
      <c r="E188" s="24" t="s">
        <v>9</v>
      </c>
      <c r="F188" s="18" t="s">
        <v>698</v>
      </c>
      <c r="G188" s="18"/>
      <c r="H188" s="18"/>
      <c r="I188" s="18"/>
      <c r="J188" s="18" t="s">
        <v>699</v>
      </c>
      <c r="K188" s="18"/>
    </row>
    <row r="189" customFormat="false" ht="15" hidden="false" customHeight="true" outlineLevel="0" collapsed="false">
      <c r="A189" s="18" t="n">
        <v>188</v>
      </c>
      <c r="B189" s="18" t="s">
        <v>527</v>
      </c>
      <c r="C189" s="18" t="s">
        <v>690</v>
      </c>
      <c r="D189" s="18" t="s">
        <v>649</v>
      </c>
      <c r="E189" s="24" t="s">
        <v>9</v>
      </c>
      <c r="F189" s="18" t="s">
        <v>700</v>
      </c>
      <c r="G189" s="18"/>
      <c r="H189" s="18"/>
      <c r="I189" s="18"/>
      <c r="J189" s="18" t="s">
        <v>701</v>
      </c>
      <c r="K189" s="18"/>
    </row>
    <row r="190" customFormat="false" ht="15" hidden="false" customHeight="true" outlineLevel="0" collapsed="false">
      <c r="A190" s="18" t="n">
        <v>189</v>
      </c>
      <c r="B190" s="18" t="s">
        <v>527</v>
      </c>
      <c r="C190" s="18" t="s">
        <v>690</v>
      </c>
      <c r="D190" s="18" t="s">
        <v>702</v>
      </c>
      <c r="E190" s="24" t="s">
        <v>9</v>
      </c>
      <c r="F190" s="18" t="s">
        <v>703</v>
      </c>
      <c r="G190" s="18"/>
      <c r="H190" s="18"/>
      <c r="I190" s="18"/>
      <c r="J190" s="18" t="s">
        <v>704</v>
      </c>
      <c r="K190" s="18"/>
    </row>
    <row r="191" customFormat="false" ht="15" hidden="false" customHeight="true" outlineLevel="0" collapsed="false">
      <c r="A191" s="18" t="n">
        <v>190</v>
      </c>
      <c r="B191" s="18" t="s">
        <v>527</v>
      </c>
      <c r="C191" s="18" t="s">
        <v>705</v>
      </c>
      <c r="D191" s="18" t="s">
        <v>637</v>
      </c>
      <c r="E191" s="24" t="s">
        <v>9</v>
      </c>
      <c r="F191" s="18" t="s">
        <v>706</v>
      </c>
      <c r="G191" s="18"/>
      <c r="H191" s="18"/>
      <c r="I191" s="18"/>
      <c r="J191" s="18" t="s">
        <v>289</v>
      </c>
      <c r="K191" s="18"/>
    </row>
    <row r="192" customFormat="false" ht="15" hidden="false" customHeight="true" outlineLevel="0" collapsed="false">
      <c r="A192" s="18" t="n">
        <v>191</v>
      </c>
      <c r="B192" s="18" t="s">
        <v>527</v>
      </c>
      <c r="C192" s="18" t="s">
        <v>705</v>
      </c>
      <c r="D192" s="18" t="s">
        <v>639</v>
      </c>
      <c r="E192" s="24" t="s">
        <v>9</v>
      </c>
      <c r="F192" s="18" t="s">
        <v>707</v>
      </c>
      <c r="G192" s="18"/>
      <c r="H192" s="18"/>
      <c r="I192" s="18"/>
      <c r="J192" s="18" t="s">
        <v>708</v>
      </c>
      <c r="K192" s="18"/>
    </row>
    <row r="193" customFormat="false" ht="15" hidden="false" customHeight="true" outlineLevel="0" collapsed="false">
      <c r="A193" s="18" t="n">
        <v>192</v>
      </c>
      <c r="B193" s="18" t="s">
        <v>527</v>
      </c>
      <c r="C193" s="18" t="s">
        <v>705</v>
      </c>
      <c r="D193" s="18" t="s">
        <v>642</v>
      </c>
      <c r="E193" s="24" t="s">
        <v>9</v>
      </c>
      <c r="F193" s="18" t="s">
        <v>709</v>
      </c>
      <c r="G193" s="18"/>
      <c r="H193" s="18"/>
      <c r="I193" s="18"/>
      <c r="J193" s="18" t="s">
        <v>710</v>
      </c>
      <c r="K193" s="18"/>
    </row>
    <row r="194" customFormat="false" ht="15" hidden="false" customHeight="true" outlineLevel="0" collapsed="false">
      <c r="A194" s="18" t="n">
        <v>193</v>
      </c>
      <c r="B194" s="18" t="s">
        <v>527</v>
      </c>
      <c r="C194" s="18" t="s">
        <v>705</v>
      </c>
      <c r="D194" s="18" t="s">
        <v>571</v>
      </c>
      <c r="E194" s="24" t="s">
        <v>9</v>
      </c>
      <c r="F194" s="18" t="s">
        <v>711</v>
      </c>
      <c r="G194" s="18"/>
      <c r="H194" s="18"/>
      <c r="I194" s="18"/>
      <c r="J194" s="18" t="s">
        <v>297</v>
      </c>
      <c r="K194" s="18"/>
    </row>
    <row r="195" customFormat="false" ht="15" hidden="false" customHeight="true" outlineLevel="0" collapsed="false">
      <c r="A195" s="18" t="n">
        <v>194</v>
      </c>
      <c r="B195" s="18" t="s">
        <v>527</v>
      </c>
      <c r="C195" s="18" t="s">
        <v>705</v>
      </c>
      <c r="D195" s="18" t="s">
        <v>645</v>
      </c>
      <c r="E195" s="24" t="s">
        <v>9</v>
      </c>
      <c r="F195" s="18" t="s">
        <v>712</v>
      </c>
      <c r="G195" s="18"/>
      <c r="H195" s="18"/>
      <c r="I195" s="18"/>
      <c r="J195" s="18" t="s">
        <v>302</v>
      </c>
      <c r="K195" s="18"/>
    </row>
    <row r="196" customFormat="false" ht="15" hidden="false" customHeight="true" outlineLevel="0" collapsed="false">
      <c r="A196" s="18" t="n">
        <v>195</v>
      </c>
      <c r="B196" s="18" t="s">
        <v>527</v>
      </c>
      <c r="C196" s="18" t="s">
        <v>705</v>
      </c>
      <c r="D196" s="18" t="s">
        <v>647</v>
      </c>
      <c r="E196" s="24" t="s">
        <v>9</v>
      </c>
      <c r="F196" s="18" t="s">
        <v>713</v>
      </c>
      <c r="G196" s="18"/>
      <c r="H196" s="18"/>
      <c r="I196" s="18"/>
      <c r="J196" s="18" t="s">
        <v>714</v>
      </c>
      <c r="K196" s="18"/>
    </row>
    <row r="197" customFormat="false" ht="15" hidden="false" customHeight="true" outlineLevel="0" collapsed="false">
      <c r="A197" s="18" t="n">
        <v>196</v>
      </c>
      <c r="B197" s="18" t="s">
        <v>527</v>
      </c>
      <c r="C197" s="18" t="s">
        <v>705</v>
      </c>
      <c r="D197" s="18" t="s">
        <v>649</v>
      </c>
      <c r="E197" s="24" t="s">
        <v>9</v>
      </c>
      <c r="F197" s="18" t="s">
        <v>715</v>
      </c>
      <c r="G197" s="18"/>
      <c r="H197" s="18"/>
      <c r="I197" s="18"/>
      <c r="J197" s="18" t="s">
        <v>716</v>
      </c>
      <c r="K197" s="18"/>
    </row>
    <row r="198" customFormat="false" ht="15" hidden="false" customHeight="true" outlineLevel="0" collapsed="false">
      <c r="A198" s="18" t="n">
        <v>197</v>
      </c>
      <c r="B198" s="18" t="s">
        <v>527</v>
      </c>
      <c r="C198" s="18" t="s">
        <v>705</v>
      </c>
      <c r="D198" s="18" t="s">
        <v>717</v>
      </c>
      <c r="E198" s="24" t="s">
        <v>9</v>
      </c>
      <c r="F198" s="18" t="s">
        <v>718</v>
      </c>
      <c r="G198" s="18"/>
      <c r="H198" s="18"/>
      <c r="I198" s="18"/>
      <c r="J198" s="18" t="s">
        <v>315</v>
      </c>
      <c r="K198" s="18"/>
    </row>
    <row r="199" customFormat="false" ht="15" hidden="false" customHeight="true" outlineLevel="0" collapsed="false">
      <c r="A199" s="18" t="n">
        <v>198</v>
      </c>
      <c r="B199" s="18" t="s">
        <v>527</v>
      </c>
      <c r="C199" s="18" t="s">
        <v>719</v>
      </c>
      <c r="D199" s="18" t="s">
        <v>720</v>
      </c>
      <c r="E199" s="24" t="s">
        <v>9</v>
      </c>
      <c r="F199" s="18" t="s">
        <v>721</v>
      </c>
      <c r="G199" s="18"/>
      <c r="H199" s="18"/>
      <c r="I199" s="18"/>
      <c r="J199" s="18" t="s">
        <v>321</v>
      </c>
      <c r="K199" s="18"/>
    </row>
    <row r="200" customFormat="false" ht="15" hidden="false" customHeight="true" outlineLevel="0" collapsed="false">
      <c r="A200" s="18" t="n">
        <v>199</v>
      </c>
      <c r="B200" s="18" t="s">
        <v>527</v>
      </c>
      <c r="C200" s="18" t="s">
        <v>719</v>
      </c>
      <c r="D200" s="18" t="s">
        <v>722</v>
      </c>
      <c r="E200" s="24" t="s">
        <v>9</v>
      </c>
      <c r="F200" s="18" t="s">
        <v>723</v>
      </c>
      <c r="G200" s="18"/>
      <c r="H200" s="18"/>
      <c r="I200" s="18"/>
      <c r="J200" s="18" t="s">
        <v>326</v>
      </c>
      <c r="K200" s="18"/>
    </row>
    <row r="201" customFormat="false" ht="15" hidden="false" customHeight="true" outlineLevel="0" collapsed="false">
      <c r="A201" s="18" t="n">
        <v>200</v>
      </c>
      <c r="B201" s="18" t="s">
        <v>527</v>
      </c>
      <c r="C201" s="18" t="s">
        <v>719</v>
      </c>
      <c r="D201" s="18" t="s">
        <v>724</v>
      </c>
      <c r="E201" s="24" t="s">
        <v>9</v>
      </c>
      <c r="F201" s="18" t="s">
        <v>725</v>
      </c>
      <c r="G201" s="18"/>
      <c r="H201" s="18"/>
      <c r="I201" s="18"/>
      <c r="J201" s="18" t="s">
        <v>331</v>
      </c>
      <c r="K201" s="18"/>
    </row>
    <row r="202" customFormat="false" ht="15" hidden="false" customHeight="true" outlineLevel="0" collapsed="false">
      <c r="A202" s="18" t="n">
        <v>201</v>
      </c>
      <c r="B202" s="18" t="s">
        <v>527</v>
      </c>
      <c r="C202" s="18" t="s">
        <v>719</v>
      </c>
      <c r="D202" s="18" t="s">
        <v>726</v>
      </c>
      <c r="E202" s="24" t="s">
        <v>9</v>
      </c>
      <c r="F202" s="18" t="s">
        <v>727</v>
      </c>
      <c r="G202" s="18"/>
      <c r="H202" s="18"/>
      <c r="I202" s="18"/>
      <c r="J202" s="18" t="s">
        <v>349</v>
      </c>
      <c r="K202" s="18"/>
    </row>
    <row r="203" customFormat="false" ht="15" hidden="false" customHeight="true" outlineLevel="0" collapsed="false">
      <c r="A203" s="18" t="n">
        <v>202</v>
      </c>
      <c r="B203" s="18" t="s">
        <v>527</v>
      </c>
      <c r="C203" s="18" t="s">
        <v>719</v>
      </c>
      <c r="D203" s="18" t="s">
        <v>728</v>
      </c>
      <c r="E203" s="24" t="s">
        <v>9</v>
      </c>
      <c r="F203" s="18" t="s">
        <v>729</v>
      </c>
      <c r="G203" s="18"/>
      <c r="H203" s="18"/>
      <c r="I203" s="18"/>
      <c r="J203" s="18" t="s">
        <v>730</v>
      </c>
      <c r="K203" s="18"/>
    </row>
    <row r="204" customFormat="false" ht="15" hidden="false" customHeight="true" outlineLevel="0" collapsed="false">
      <c r="A204" s="18" t="n">
        <v>203</v>
      </c>
      <c r="B204" s="18" t="s">
        <v>527</v>
      </c>
      <c r="C204" s="18" t="s">
        <v>719</v>
      </c>
      <c r="D204" s="18" t="s">
        <v>731</v>
      </c>
      <c r="E204" s="24" t="s">
        <v>9</v>
      </c>
      <c r="F204" s="18" t="s">
        <v>732</v>
      </c>
      <c r="G204" s="18"/>
      <c r="H204" s="18"/>
      <c r="I204" s="18"/>
      <c r="J204" s="18" t="s">
        <v>363</v>
      </c>
      <c r="K204" s="18"/>
    </row>
    <row r="205" customFormat="false" ht="23.25" hidden="false" customHeight="true" outlineLevel="0" collapsed="false">
      <c r="A205" s="18" t="n">
        <v>204</v>
      </c>
      <c r="B205" s="18" t="s">
        <v>527</v>
      </c>
      <c r="C205" s="18" t="s">
        <v>719</v>
      </c>
      <c r="D205" s="18" t="s">
        <v>649</v>
      </c>
      <c r="E205" s="24" t="s">
        <v>9</v>
      </c>
      <c r="F205" s="18" t="s">
        <v>733</v>
      </c>
      <c r="G205" s="18"/>
      <c r="H205" s="18"/>
      <c r="I205" s="18"/>
      <c r="J205" s="18" t="s">
        <v>366</v>
      </c>
      <c r="K205" s="18" t="s">
        <v>734</v>
      </c>
    </row>
    <row r="206" customFormat="false" ht="15" hidden="false" customHeight="true" outlineLevel="0" collapsed="false">
      <c r="A206" s="18" t="n">
        <v>205</v>
      </c>
      <c r="B206" s="18" t="s">
        <v>527</v>
      </c>
      <c r="C206" s="18" t="s">
        <v>719</v>
      </c>
      <c r="D206" s="18" t="s">
        <v>735</v>
      </c>
      <c r="E206" s="24" t="s">
        <v>9</v>
      </c>
      <c r="F206" s="18" t="s">
        <v>736</v>
      </c>
      <c r="G206" s="18"/>
      <c r="H206" s="18"/>
      <c r="I206" s="18"/>
      <c r="J206" s="18" t="s">
        <v>341</v>
      </c>
      <c r="K206" s="18"/>
    </row>
    <row r="207" customFormat="false" ht="15" hidden="false" customHeight="true" outlineLevel="0" collapsed="false">
      <c r="A207" s="18" t="n">
        <v>206</v>
      </c>
      <c r="B207" s="18" t="s">
        <v>527</v>
      </c>
      <c r="C207" s="18" t="s">
        <v>719</v>
      </c>
      <c r="D207" s="18" t="s">
        <v>737</v>
      </c>
      <c r="E207" s="24" t="s">
        <v>9</v>
      </c>
      <c r="F207" s="18" t="s">
        <v>738</v>
      </c>
      <c r="G207" s="18"/>
      <c r="H207" s="18"/>
      <c r="I207" s="18"/>
      <c r="J207" s="18" t="s">
        <v>371</v>
      </c>
      <c r="K207" s="18"/>
    </row>
    <row r="208" customFormat="false" ht="15" hidden="false" customHeight="true" outlineLevel="0" collapsed="false">
      <c r="A208" s="18" t="n">
        <v>207</v>
      </c>
      <c r="B208" s="18" t="s">
        <v>527</v>
      </c>
      <c r="C208" s="18" t="s">
        <v>719</v>
      </c>
      <c r="D208" s="18" t="s">
        <v>739</v>
      </c>
      <c r="E208" s="24" t="s">
        <v>9</v>
      </c>
      <c r="F208" s="18" t="s">
        <v>740</v>
      </c>
      <c r="G208" s="18"/>
      <c r="H208" s="18"/>
      <c r="I208" s="18"/>
      <c r="J208" s="18" t="s">
        <v>741</v>
      </c>
      <c r="K208" s="18"/>
    </row>
    <row r="209" customFormat="false" ht="15" hidden="false" customHeight="true" outlineLevel="0" collapsed="false">
      <c r="A209" s="18" t="n">
        <v>208</v>
      </c>
      <c r="B209" s="18" t="s">
        <v>527</v>
      </c>
      <c r="C209" s="18" t="s">
        <v>719</v>
      </c>
      <c r="D209" s="18" t="s">
        <v>742</v>
      </c>
      <c r="E209" s="24" t="s">
        <v>9</v>
      </c>
      <c r="F209" s="18" t="s">
        <v>743</v>
      </c>
      <c r="G209" s="18"/>
      <c r="H209" s="18"/>
      <c r="I209" s="18"/>
      <c r="J209" s="18" t="s">
        <v>744</v>
      </c>
      <c r="K209" s="18"/>
    </row>
    <row r="210" customFormat="false" ht="23.25" hidden="false" customHeight="true" outlineLevel="0" collapsed="false">
      <c r="A210" s="18" t="n">
        <v>209</v>
      </c>
      <c r="B210" s="18" t="s">
        <v>527</v>
      </c>
      <c r="C210" s="18" t="s">
        <v>719</v>
      </c>
      <c r="D210" s="18" t="s">
        <v>649</v>
      </c>
      <c r="E210" s="24" t="s">
        <v>9</v>
      </c>
      <c r="F210" s="18" t="s">
        <v>745</v>
      </c>
      <c r="G210" s="18"/>
      <c r="H210" s="18"/>
      <c r="I210" s="18"/>
      <c r="J210" s="18" t="s">
        <v>746</v>
      </c>
      <c r="K210" s="18" t="s">
        <v>747</v>
      </c>
    </row>
    <row r="211" customFormat="false" ht="15" hidden="false" customHeight="true" outlineLevel="0" collapsed="false">
      <c r="A211" s="18" t="n">
        <v>210</v>
      </c>
      <c r="B211" s="18" t="s">
        <v>527</v>
      </c>
      <c r="C211" s="18" t="s">
        <v>719</v>
      </c>
      <c r="D211" s="18" t="s">
        <v>748</v>
      </c>
      <c r="E211" s="24" t="s">
        <v>9</v>
      </c>
      <c r="F211" s="18" t="s">
        <v>749</v>
      </c>
      <c r="G211" s="18"/>
      <c r="H211" s="18"/>
      <c r="I211" s="18"/>
      <c r="J211" s="18" t="s">
        <v>750</v>
      </c>
      <c r="K211" s="18"/>
    </row>
    <row r="212" customFormat="false" ht="23.25" hidden="false" customHeight="true" outlineLevel="0" collapsed="false">
      <c r="A212" s="18" t="n">
        <v>211</v>
      </c>
      <c r="B212" s="18" t="s">
        <v>527</v>
      </c>
      <c r="C212" s="18" t="s">
        <v>751</v>
      </c>
      <c r="D212" s="18" t="s">
        <v>752</v>
      </c>
      <c r="E212" s="24" t="s">
        <v>9</v>
      </c>
      <c r="F212" s="18" t="s">
        <v>753</v>
      </c>
      <c r="G212" s="18"/>
      <c r="H212" s="18"/>
      <c r="I212" s="18"/>
      <c r="J212" s="18" t="s">
        <v>377</v>
      </c>
      <c r="K212" s="18"/>
    </row>
    <row r="213" customFormat="false" ht="15" hidden="false" customHeight="true" outlineLevel="0" collapsed="false">
      <c r="A213" s="18" t="n">
        <v>212</v>
      </c>
      <c r="B213" s="18" t="s">
        <v>527</v>
      </c>
      <c r="C213" s="18" t="s">
        <v>751</v>
      </c>
      <c r="D213" s="18" t="s">
        <v>754</v>
      </c>
      <c r="E213" s="24" t="s">
        <v>9</v>
      </c>
      <c r="F213" s="18" t="s">
        <v>755</v>
      </c>
      <c r="G213" s="18"/>
      <c r="H213" s="18"/>
      <c r="I213" s="18"/>
      <c r="J213" s="18" t="s">
        <v>382</v>
      </c>
      <c r="K213" s="18"/>
    </row>
    <row r="214" customFormat="false" ht="15" hidden="false" customHeight="true" outlineLevel="0" collapsed="false">
      <c r="A214" s="18" t="n">
        <v>213</v>
      </c>
      <c r="B214" s="18" t="s">
        <v>527</v>
      </c>
      <c r="C214" s="18" t="s">
        <v>751</v>
      </c>
      <c r="D214" s="18" t="s">
        <v>756</v>
      </c>
      <c r="E214" s="24" t="s">
        <v>9</v>
      </c>
      <c r="F214" s="18" t="s">
        <v>757</v>
      </c>
      <c r="G214" s="18"/>
      <c r="H214" s="18"/>
      <c r="I214" s="18"/>
      <c r="J214" s="18" t="s">
        <v>758</v>
      </c>
      <c r="K214" s="18"/>
    </row>
    <row r="215" customFormat="false" ht="15" hidden="false" customHeight="true" outlineLevel="0" collapsed="false">
      <c r="A215" s="18" t="n">
        <v>214</v>
      </c>
      <c r="B215" s="18" t="s">
        <v>527</v>
      </c>
      <c r="C215" s="18" t="s">
        <v>751</v>
      </c>
      <c r="D215" s="18" t="s">
        <v>759</v>
      </c>
      <c r="E215" s="24" t="s">
        <v>9</v>
      </c>
      <c r="F215" s="18" t="s">
        <v>760</v>
      </c>
      <c r="G215" s="18"/>
      <c r="H215" s="18"/>
      <c r="I215" s="18"/>
      <c r="J215" s="18" t="s">
        <v>761</v>
      </c>
      <c r="K215" s="18"/>
    </row>
    <row r="216" customFormat="false" ht="15" hidden="false" customHeight="true" outlineLevel="0" collapsed="false">
      <c r="A216" s="18" t="n">
        <v>215</v>
      </c>
      <c r="B216" s="18" t="s">
        <v>527</v>
      </c>
      <c r="C216" s="18" t="s">
        <v>762</v>
      </c>
      <c r="D216" s="18" t="s">
        <v>763</v>
      </c>
      <c r="E216" s="24" t="s">
        <v>9</v>
      </c>
      <c r="F216" s="18" t="s">
        <v>764</v>
      </c>
      <c r="G216" s="18"/>
      <c r="H216" s="18"/>
      <c r="I216" s="18"/>
      <c r="J216" s="18" t="s">
        <v>388</v>
      </c>
      <c r="K216" s="18"/>
    </row>
    <row r="217" customFormat="false" ht="15" hidden="false" customHeight="true" outlineLevel="0" collapsed="false">
      <c r="A217" s="18" t="n">
        <v>216</v>
      </c>
      <c r="B217" s="18" t="s">
        <v>527</v>
      </c>
      <c r="C217" s="18" t="s">
        <v>762</v>
      </c>
      <c r="D217" s="18" t="s">
        <v>765</v>
      </c>
      <c r="E217" s="24" t="s">
        <v>9</v>
      </c>
      <c r="F217" s="18" t="s">
        <v>766</v>
      </c>
      <c r="G217" s="18"/>
      <c r="H217" s="18"/>
      <c r="I217" s="18"/>
      <c r="J217" s="18" t="s">
        <v>767</v>
      </c>
      <c r="K217" s="18"/>
    </row>
    <row r="218" customFormat="false" ht="15" hidden="false" customHeight="true" outlineLevel="0" collapsed="false">
      <c r="A218" s="18" t="n">
        <v>217</v>
      </c>
      <c r="B218" s="18" t="s">
        <v>527</v>
      </c>
      <c r="C218" s="18" t="s">
        <v>762</v>
      </c>
      <c r="D218" s="18" t="s">
        <v>768</v>
      </c>
      <c r="E218" s="24" t="s">
        <v>9</v>
      </c>
      <c r="F218" s="18" t="s">
        <v>769</v>
      </c>
      <c r="G218" s="18"/>
      <c r="H218" s="18"/>
      <c r="I218" s="18"/>
      <c r="J218" s="18" t="s">
        <v>770</v>
      </c>
      <c r="K218" s="18"/>
    </row>
    <row r="219" customFormat="false" ht="15" hidden="false" customHeight="true" outlineLevel="0" collapsed="false">
      <c r="A219" s="18" t="n">
        <v>218</v>
      </c>
      <c r="B219" s="18" t="s">
        <v>527</v>
      </c>
      <c r="C219" s="18" t="s">
        <v>762</v>
      </c>
      <c r="D219" s="18" t="s">
        <v>771</v>
      </c>
      <c r="E219" s="24" t="s">
        <v>9</v>
      </c>
      <c r="F219" s="18" t="s">
        <v>772</v>
      </c>
      <c r="G219" s="18"/>
      <c r="H219" s="18"/>
      <c r="I219" s="18"/>
      <c r="J219" s="18" t="s">
        <v>773</v>
      </c>
      <c r="K219" s="18"/>
    </row>
    <row r="220" customFormat="false" ht="15" hidden="false" customHeight="true" outlineLevel="0" collapsed="false">
      <c r="A220" s="18" t="n">
        <v>219</v>
      </c>
      <c r="B220" s="18" t="s">
        <v>774</v>
      </c>
      <c r="C220" s="18" t="s">
        <v>51</v>
      </c>
      <c r="D220" s="18" t="s">
        <v>102</v>
      </c>
      <c r="E220" s="19" t="s">
        <v>19</v>
      </c>
      <c r="F220" s="18"/>
      <c r="G220" s="18"/>
      <c r="H220" s="18"/>
      <c r="I220" s="18"/>
      <c r="J220" s="18"/>
      <c r="K220" s="18" t="s">
        <v>54</v>
      </c>
    </row>
    <row r="221" customFormat="false" ht="23.25" hidden="false" customHeight="true" outlineLevel="0" collapsed="false">
      <c r="A221" s="18" t="n">
        <v>220</v>
      </c>
      <c r="B221" s="18" t="s">
        <v>774</v>
      </c>
      <c r="C221" s="18" t="s">
        <v>775</v>
      </c>
      <c r="D221" s="18" t="s">
        <v>776</v>
      </c>
      <c r="E221" s="23" t="s">
        <v>7</v>
      </c>
      <c r="F221" s="18" t="s">
        <v>78</v>
      </c>
      <c r="G221" s="18" t="s">
        <v>79</v>
      </c>
      <c r="H221" s="18"/>
      <c r="I221" s="18" t="s">
        <v>80</v>
      </c>
      <c r="J221" s="18"/>
      <c r="K221" s="18" t="s">
        <v>777</v>
      </c>
    </row>
    <row r="222" customFormat="false" ht="23.25" hidden="false" customHeight="true" outlineLevel="0" collapsed="false">
      <c r="A222" s="18" t="n">
        <v>221</v>
      </c>
      <c r="B222" s="18" t="s">
        <v>774</v>
      </c>
      <c r="C222" s="18" t="s">
        <v>775</v>
      </c>
      <c r="D222" s="18" t="s">
        <v>778</v>
      </c>
      <c r="E222" s="20" t="s">
        <v>5</v>
      </c>
      <c r="F222" s="18" t="s">
        <v>779</v>
      </c>
      <c r="G222" s="18" t="s">
        <v>780</v>
      </c>
      <c r="H222" s="18"/>
      <c r="I222" s="18" t="s">
        <v>781</v>
      </c>
      <c r="J222" s="18"/>
      <c r="K222" s="18"/>
    </row>
    <row r="223" customFormat="false" ht="23.25" hidden="false" customHeight="true" outlineLevel="0" collapsed="false">
      <c r="A223" s="18" t="n">
        <v>222</v>
      </c>
      <c r="B223" s="18" t="s">
        <v>774</v>
      </c>
      <c r="C223" s="18" t="s">
        <v>775</v>
      </c>
      <c r="D223" s="18" t="s">
        <v>782</v>
      </c>
      <c r="E223" s="20" t="s">
        <v>5</v>
      </c>
      <c r="F223" s="18" t="s">
        <v>783</v>
      </c>
      <c r="G223" s="18" t="s">
        <v>784</v>
      </c>
      <c r="H223" s="18"/>
      <c r="I223" s="18" t="s">
        <v>785</v>
      </c>
      <c r="J223" s="18"/>
      <c r="K223" s="18"/>
    </row>
    <row r="224" customFormat="false" ht="23.25" hidden="false" customHeight="true" outlineLevel="0" collapsed="false">
      <c r="A224" s="18" t="n">
        <v>223</v>
      </c>
      <c r="B224" s="18" t="s">
        <v>774</v>
      </c>
      <c r="C224" s="18" t="s">
        <v>786</v>
      </c>
      <c r="D224" s="18" t="s">
        <v>787</v>
      </c>
      <c r="E224" s="24" t="s">
        <v>9</v>
      </c>
      <c r="F224" s="18" t="s">
        <v>788</v>
      </c>
      <c r="G224" s="18"/>
      <c r="H224" s="18"/>
      <c r="I224" s="18" t="s">
        <v>789</v>
      </c>
      <c r="J224" s="18"/>
      <c r="K224" s="18"/>
    </row>
    <row r="225" customFormat="false" ht="23.25" hidden="false" customHeight="true" outlineLevel="0" collapsed="false">
      <c r="A225" s="18" t="n">
        <v>224</v>
      </c>
      <c r="B225" s="18" t="s">
        <v>774</v>
      </c>
      <c r="C225" s="18" t="s">
        <v>786</v>
      </c>
      <c r="D225" s="18" t="s">
        <v>787</v>
      </c>
      <c r="E225" s="24" t="s">
        <v>9</v>
      </c>
      <c r="F225" s="18" t="s">
        <v>788</v>
      </c>
      <c r="G225" s="18"/>
      <c r="H225" s="18"/>
      <c r="I225" s="18" t="s">
        <v>789</v>
      </c>
      <c r="J225" s="18"/>
      <c r="K225" s="18"/>
    </row>
    <row r="226" customFormat="false" ht="23.25" hidden="false" customHeight="true" outlineLevel="0" collapsed="false">
      <c r="A226" s="18" t="n">
        <v>225</v>
      </c>
      <c r="B226" s="18" t="s">
        <v>774</v>
      </c>
      <c r="C226" s="18" t="s">
        <v>786</v>
      </c>
      <c r="D226" s="18" t="s">
        <v>790</v>
      </c>
      <c r="E226" s="24" t="s">
        <v>9</v>
      </c>
      <c r="F226" s="18" t="s">
        <v>791</v>
      </c>
      <c r="G226" s="18"/>
      <c r="H226" s="18"/>
      <c r="I226" s="18" t="s">
        <v>146</v>
      </c>
      <c r="J226" s="18"/>
      <c r="K226" s="18"/>
    </row>
    <row r="227" customFormat="false" ht="23.25" hidden="false" customHeight="true" outlineLevel="0" collapsed="false">
      <c r="A227" s="18" t="n">
        <v>226</v>
      </c>
      <c r="B227" s="18" t="s">
        <v>774</v>
      </c>
      <c r="C227" s="18" t="s">
        <v>786</v>
      </c>
      <c r="D227" s="18" t="s">
        <v>792</v>
      </c>
      <c r="E227" s="24" t="s">
        <v>9</v>
      </c>
      <c r="F227" s="18" t="s">
        <v>793</v>
      </c>
      <c r="G227" s="18"/>
      <c r="H227" s="18"/>
      <c r="I227" s="18" t="s">
        <v>578</v>
      </c>
      <c r="J227" s="18"/>
      <c r="K227" s="18"/>
    </row>
    <row r="228" customFormat="false" ht="34.5" hidden="false" customHeight="true" outlineLevel="0" collapsed="false">
      <c r="A228" s="18" t="n">
        <v>227</v>
      </c>
      <c r="B228" s="18" t="s">
        <v>774</v>
      </c>
      <c r="C228" s="18" t="s">
        <v>786</v>
      </c>
      <c r="D228" s="18" t="s">
        <v>794</v>
      </c>
      <c r="E228" s="24" t="s">
        <v>9</v>
      </c>
      <c r="F228" s="18" t="s">
        <v>795</v>
      </c>
      <c r="G228" s="18"/>
      <c r="H228" s="18"/>
      <c r="I228" s="18" t="s">
        <v>581</v>
      </c>
      <c r="J228" s="18"/>
      <c r="K228" s="18"/>
    </row>
    <row r="229" customFormat="false" ht="34.5" hidden="false" customHeight="true" outlineLevel="0" collapsed="false">
      <c r="A229" s="18" t="n">
        <v>228</v>
      </c>
      <c r="B229" s="18" t="s">
        <v>774</v>
      </c>
      <c r="C229" s="18" t="s">
        <v>786</v>
      </c>
      <c r="D229" s="18" t="s">
        <v>796</v>
      </c>
      <c r="E229" s="24" t="s">
        <v>9</v>
      </c>
      <c r="F229" s="18" t="s">
        <v>797</v>
      </c>
      <c r="G229" s="18"/>
      <c r="H229" s="18"/>
      <c r="I229" s="18" t="s">
        <v>584</v>
      </c>
      <c r="J229" s="18"/>
      <c r="K229" s="18"/>
    </row>
    <row r="230" customFormat="false" ht="23.25" hidden="false" customHeight="true" outlineLevel="0" collapsed="false">
      <c r="A230" s="18" t="n">
        <v>229</v>
      </c>
      <c r="B230" s="18" t="s">
        <v>774</v>
      </c>
      <c r="C230" s="18" t="s">
        <v>798</v>
      </c>
      <c r="D230" s="18" t="s">
        <v>799</v>
      </c>
      <c r="E230" s="24" t="s">
        <v>9</v>
      </c>
      <c r="F230" s="18" t="s">
        <v>800</v>
      </c>
      <c r="G230" s="18"/>
      <c r="H230" s="18"/>
      <c r="I230" s="18" t="s">
        <v>801</v>
      </c>
      <c r="J230" s="18"/>
      <c r="K230" s="18"/>
    </row>
    <row r="231" customFormat="false" ht="23.25" hidden="false" customHeight="true" outlineLevel="0" collapsed="false">
      <c r="A231" s="18" t="n">
        <v>230</v>
      </c>
      <c r="B231" s="18" t="s">
        <v>774</v>
      </c>
      <c r="C231" s="18" t="s">
        <v>798</v>
      </c>
      <c r="D231" s="18" t="s">
        <v>802</v>
      </c>
      <c r="E231" s="24" t="s">
        <v>9</v>
      </c>
      <c r="F231" s="18" t="s">
        <v>800</v>
      </c>
      <c r="G231" s="18"/>
      <c r="H231" s="18"/>
      <c r="I231" s="18" t="s">
        <v>801</v>
      </c>
      <c r="J231" s="18"/>
      <c r="K231" s="18"/>
    </row>
    <row r="232" customFormat="false" ht="23.25" hidden="false" customHeight="true" outlineLevel="0" collapsed="false">
      <c r="A232" s="18" t="n">
        <v>231</v>
      </c>
      <c r="B232" s="18" t="s">
        <v>774</v>
      </c>
      <c r="C232" s="18" t="s">
        <v>798</v>
      </c>
      <c r="D232" s="18" t="s">
        <v>803</v>
      </c>
      <c r="E232" s="24" t="s">
        <v>9</v>
      </c>
      <c r="F232" s="18" t="s">
        <v>804</v>
      </c>
      <c r="G232" s="18"/>
      <c r="H232" s="18"/>
      <c r="I232" s="18" t="s">
        <v>158</v>
      </c>
      <c r="J232" s="18"/>
      <c r="K232" s="18"/>
    </row>
    <row r="233" customFormat="false" ht="34.5" hidden="false" customHeight="true" outlineLevel="0" collapsed="false">
      <c r="A233" s="18" t="n">
        <v>232</v>
      </c>
      <c r="B233" s="18" t="s">
        <v>774</v>
      </c>
      <c r="C233" s="18" t="s">
        <v>798</v>
      </c>
      <c r="D233" s="18" t="s">
        <v>805</v>
      </c>
      <c r="E233" s="24" t="s">
        <v>9</v>
      </c>
      <c r="F233" s="18" t="s">
        <v>806</v>
      </c>
      <c r="G233" s="18"/>
      <c r="H233" s="18"/>
      <c r="I233" s="18" t="s">
        <v>807</v>
      </c>
      <c r="J233" s="18"/>
      <c r="K233" s="18"/>
    </row>
    <row r="234" customFormat="false" ht="34.5" hidden="false" customHeight="true" outlineLevel="0" collapsed="false">
      <c r="A234" s="18" t="n">
        <v>233</v>
      </c>
      <c r="B234" s="18" t="s">
        <v>774</v>
      </c>
      <c r="C234" s="18" t="s">
        <v>798</v>
      </c>
      <c r="D234" s="18" t="s">
        <v>808</v>
      </c>
      <c r="E234" s="24" t="s">
        <v>9</v>
      </c>
      <c r="F234" s="18" t="s">
        <v>809</v>
      </c>
      <c r="G234" s="18"/>
      <c r="H234" s="18"/>
      <c r="I234" s="18" t="s">
        <v>810</v>
      </c>
      <c r="J234" s="18"/>
      <c r="K234" s="18"/>
    </row>
    <row r="235" customFormat="false" ht="34.5" hidden="false" customHeight="true" outlineLevel="0" collapsed="false">
      <c r="A235" s="18" t="n">
        <v>234</v>
      </c>
      <c r="B235" s="18" t="s">
        <v>774</v>
      </c>
      <c r="C235" s="18" t="s">
        <v>798</v>
      </c>
      <c r="D235" s="18" t="s">
        <v>811</v>
      </c>
      <c r="E235" s="24" t="s">
        <v>9</v>
      </c>
      <c r="F235" s="18" t="s">
        <v>812</v>
      </c>
      <c r="G235" s="18"/>
      <c r="H235" s="18"/>
      <c r="I235" s="18" t="s">
        <v>813</v>
      </c>
      <c r="J235" s="18"/>
      <c r="K235" s="18"/>
    </row>
    <row r="236" customFormat="false" ht="34.5" hidden="false" customHeight="true" outlineLevel="0" collapsed="false">
      <c r="A236" s="18" t="n">
        <v>235</v>
      </c>
      <c r="B236" s="18" t="s">
        <v>774</v>
      </c>
      <c r="C236" s="18" t="s">
        <v>798</v>
      </c>
      <c r="D236" s="18" t="s">
        <v>814</v>
      </c>
      <c r="E236" s="24" t="s">
        <v>9</v>
      </c>
      <c r="F236" s="18" t="s">
        <v>815</v>
      </c>
      <c r="G236" s="18"/>
      <c r="H236" s="18"/>
      <c r="I236" s="18" t="s">
        <v>816</v>
      </c>
      <c r="J236" s="18"/>
      <c r="K236" s="18"/>
    </row>
    <row r="237" customFormat="false" ht="45.75" hidden="false" customHeight="true" outlineLevel="0" collapsed="false">
      <c r="A237" s="18" t="n">
        <v>236</v>
      </c>
      <c r="B237" s="18" t="s">
        <v>774</v>
      </c>
      <c r="C237" s="18" t="s">
        <v>798</v>
      </c>
      <c r="D237" s="18" t="s">
        <v>817</v>
      </c>
      <c r="E237" s="24" t="s">
        <v>9</v>
      </c>
      <c r="F237" s="18" t="s">
        <v>818</v>
      </c>
      <c r="G237" s="18"/>
      <c r="H237" s="18"/>
      <c r="I237" s="18" t="s">
        <v>617</v>
      </c>
      <c r="J237" s="18"/>
      <c r="K237" s="18"/>
    </row>
    <row r="238" customFormat="false" ht="45.75" hidden="false" customHeight="true" outlineLevel="0" collapsed="false">
      <c r="A238" s="18" t="n">
        <v>237</v>
      </c>
      <c r="B238" s="18" t="s">
        <v>774</v>
      </c>
      <c r="C238" s="18" t="s">
        <v>798</v>
      </c>
      <c r="D238" s="18" t="s">
        <v>819</v>
      </c>
      <c r="E238" s="24" t="s">
        <v>9</v>
      </c>
      <c r="F238" s="18" t="s">
        <v>818</v>
      </c>
      <c r="G238" s="18"/>
      <c r="H238" s="18"/>
      <c r="I238" s="18" t="s">
        <v>617</v>
      </c>
      <c r="J238" s="18"/>
      <c r="K238" s="18"/>
    </row>
    <row r="239" customFormat="false" ht="45.75" hidden="false" customHeight="true" outlineLevel="0" collapsed="false">
      <c r="A239" s="18" t="n">
        <v>238</v>
      </c>
      <c r="B239" s="18" t="s">
        <v>774</v>
      </c>
      <c r="C239" s="18" t="s">
        <v>798</v>
      </c>
      <c r="D239" s="18" t="s">
        <v>820</v>
      </c>
      <c r="E239" s="24" t="s">
        <v>9</v>
      </c>
      <c r="F239" s="18" t="s">
        <v>818</v>
      </c>
      <c r="G239" s="18"/>
      <c r="H239" s="18"/>
      <c r="I239" s="18" t="s">
        <v>617</v>
      </c>
      <c r="J239" s="18"/>
      <c r="K239" s="18"/>
    </row>
    <row r="240" customFormat="false" ht="23.25" hidden="false" customHeight="true" outlineLevel="0" collapsed="false">
      <c r="A240" s="18" t="n">
        <v>239</v>
      </c>
      <c r="B240" s="18" t="s">
        <v>774</v>
      </c>
      <c r="C240" s="18" t="s">
        <v>821</v>
      </c>
      <c r="D240" s="18" t="s">
        <v>822</v>
      </c>
      <c r="E240" s="20" t="s">
        <v>5</v>
      </c>
      <c r="F240" s="18" t="s">
        <v>823</v>
      </c>
      <c r="G240" s="18" t="s">
        <v>824</v>
      </c>
      <c r="H240" s="18"/>
      <c r="I240" s="18" t="s">
        <v>825</v>
      </c>
      <c r="J240" s="18"/>
      <c r="K240" s="18"/>
    </row>
    <row r="241" customFormat="false" ht="23.25" hidden="false" customHeight="true" outlineLevel="0" collapsed="false">
      <c r="A241" s="18" t="n">
        <v>240</v>
      </c>
      <c r="B241" s="18" t="s">
        <v>774</v>
      </c>
      <c r="C241" s="18" t="s">
        <v>821</v>
      </c>
      <c r="D241" s="18" t="s">
        <v>826</v>
      </c>
      <c r="E241" s="24" t="s">
        <v>9</v>
      </c>
      <c r="F241" s="18" t="s">
        <v>827</v>
      </c>
      <c r="G241" s="18"/>
      <c r="H241" s="18"/>
      <c r="I241" s="18" t="s">
        <v>828</v>
      </c>
      <c r="J241" s="18"/>
      <c r="K241" s="18"/>
    </row>
    <row r="242" customFormat="false" ht="23.25" hidden="false" customHeight="true" outlineLevel="0" collapsed="false">
      <c r="A242" s="18" t="n">
        <v>241</v>
      </c>
      <c r="B242" s="18" t="s">
        <v>774</v>
      </c>
      <c r="C242" s="18" t="s">
        <v>821</v>
      </c>
      <c r="D242" s="18" t="s">
        <v>829</v>
      </c>
      <c r="E242" s="20" t="s">
        <v>5</v>
      </c>
      <c r="F242" s="18" t="s">
        <v>830</v>
      </c>
      <c r="G242" s="18" t="s">
        <v>831</v>
      </c>
      <c r="H242" s="18"/>
      <c r="I242" s="18" t="s">
        <v>832</v>
      </c>
      <c r="J242" s="18"/>
      <c r="K242" s="18"/>
    </row>
    <row r="243" customFormat="false" ht="23.25" hidden="false" customHeight="true" outlineLevel="0" collapsed="false">
      <c r="A243" s="18" t="n">
        <v>242</v>
      </c>
      <c r="B243" s="18" t="s">
        <v>774</v>
      </c>
      <c r="C243" s="18" t="s">
        <v>833</v>
      </c>
      <c r="D243" s="18" t="s">
        <v>834</v>
      </c>
      <c r="E243" s="21" t="s">
        <v>13</v>
      </c>
      <c r="F243" s="18" t="s">
        <v>835</v>
      </c>
      <c r="G243" s="18"/>
      <c r="H243" s="18"/>
      <c r="I243" s="18"/>
      <c r="J243" s="18"/>
      <c r="K243" s="18" t="s">
        <v>836</v>
      </c>
    </row>
    <row r="244" customFormat="false" ht="23.25" hidden="false" customHeight="true" outlineLevel="0" collapsed="false">
      <c r="A244" s="18" t="n">
        <v>243</v>
      </c>
      <c r="B244" s="18" t="s">
        <v>774</v>
      </c>
      <c r="C244" s="18" t="s">
        <v>833</v>
      </c>
      <c r="D244" s="18" t="s">
        <v>837</v>
      </c>
      <c r="E244" s="24" t="s">
        <v>9</v>
      </c>
      <c r="F244" s="18" t="s">
        <v>838</v>
      </c>
      <c r="G244" s="18"/>
      <c r="H244" s="18"/>
      <c r="I244" s="18" t="s">
        <v>677</v>
      </c>
      <c r="J244" s="18"/>
      <c r="K244" s="18"/>
    </row>
    <row r="245" customFormat="false" ht="23.25" hidden="false" customHeight="true" outlineLevel="0" collapsed="false">
      <c r="A245" s="18" t="n">
        <v>244</v>
      </c>
      <c r="B245" s="18" t="s">
        <v>774</v>
      </c>
      <c r="C245" s="18" t="s">
        <v>833</v>
      </c>
      <c r="D245" s="18" t="s">
        <v>839</v>
      </c>
      <c r="E245" s="24" t="s">
        <v>9</v>
      </c>
      <c r="F245" s="18" t="s">
        <v>840</v>
      </c>
      <c r="G245" s="18"/>
      <c r="H245" s="18"/>
      <c r="I245" s="18" t="s">
        <v>679</v>
      </c>
      <c r="J245" s="18"/>
      <c r="K245" s="18"/>
    </row>
    <row r="246" customFormat="false" ht="23.25" hidden="false" customHeight="true" outlineLevel="0" collapsed="false">
      <c r="A246" s="18" t="n">
        <v>245</v>
      </c>
      <c r="B246" s="18" t="s">
        <v>774</v>
      </c>
      <c r="C246" s="18" t="s">
        <v>833</v>
      </c>
      <c r="D246" s="18" t="s">
        <v>841</v>
      </c>
      <c r="E246" s="20" t="s">
        <v>5</v>
      </c>
      <c r="F246" s="18" t="s">
        <v>842</v>
      </c>
      <c r="G246" s="18" t="s">
        <v>843</v>
      </c>
      <c r="H246" s="18"/>
      <c r="I246" s="18" t="s">
        <v>681</v>
      </c>
      <c r="J246" s="18"/>
      <c r="K246" s="18"/>
    </row>
    <row r="247" customFormat="false" ht="23.25" hidden="false" customHeight="true" outlineLevel="0" collapsed="false">
      <c r="A247" s="18" t="n">
        <v>246</v>
      </c>
      <c r="B247" s="18" t="s">
        <v>774</v>
      </c>
      <c r="C247" s="18" t="s">
        <v>833</v>
      </c>
      <c r="D247" s="18" t="s">
        <v>844</v>
      </c>
      <c r="E247" s="20" t="s">
        <v>5</v>
      </c>
      <c r="F247" s="18" t="s">
        <v>845</v>
      </c>
      <c r="G247" s="18" t="s">
        <v>846</v>
      </c>
      <c r="H247" s="18"/>
      <c r="I247" s="18" t="s">
        <v>683</v>
      </c>
      <c r="J247" s="18"/>
      <c r="K247" s="18"/>
    </row>
    <row r="248" customFormat="false" ht="23.25" hidden="false" customHeight="true" outlineLevel="0" collapsed="false">
      <c r="A248" s="18" t="n">
        <v>247</v>
      </c>
      <c r="B248" s="18" t="s">
        <v>774</v>
      </c>
      <c r="C248" s="18" t="s">
        <v>833</v>
      </c>
      <c r="D248" s="18" t="s">
        <v>847</v>
      </c>
      <c r="E248" s="24" t="s">
        <v>9</v>
      </c>
      <c r="F248" s="18" t="s">
        <v>848</v>
      </c>
      <c r="G248" s="18"/>
      <c r="H248" s="18"/>
      <c r="I248" s="18" t="s">
        <v>685</v>
      </c>
      <c r="J248" s="18"/>
      <c r="K248" s="18"/>
    </row>
    <row r="249" customFormat="false" ht="23.25" hidden="false" customHeight="true" outlineLevel="0" collapsed="false">
      <c r="A249" s="18" t="n">
        <v>248</v>
      </c>
      <c r="B249" s="18" t="s">
        <v>774</v>
      </c>
      <c r="C249" s="18" t="s">
        <v>833</v>
      </c>
      <c r="D249" s="18" t="s">
        <v>849</v>
      </c>
      <c r="E249" s="24" t="s">
        <v>9</v>
      </c>
      <c r="F249" s="18" t="s">
        <v>850</v>
      </c>
      <c r="G249" s="18"/>
      <c r="H249" s="18"/>
      <c r="I249" s="18" t="s">
        <v>687</v>
      </c>
      <c r="J249" s="18"/>
      <c r="K249" s="18"/>
    </row>
    <row r="250" customFormat="false" ht="34.5" hidden="false" customHeight="true" outlineLevel="0" collapsed="false">
      <c r="A250" s="18" t="n">
        <v>249</v>
      </c>
      <c r="B250" s="18" t="s">
        <v>774</v>
      </c>
      <c r="C250" s="18" t="s">
        <v>833</v>
      </c>
      <c r="D250" s="18" t="s">
        <v>851</v>
      </c>
      <c r="E250" s="24" t="s">
        <v>9</v>
      </c>
      <c r="F250" s="18" t="s">
        <v>852</v>
      </c>
      <c r="G250" s="18"/>
      <c r="H250" s="18"/>
      <c r="I250" s="18" t="s">
        <v>689</v>
      </c>
      <c r="J250" s="18"/>
      <c r="K250" s="18"/>
    </row>
    <row r="251" customFormat="false" ht="23.25" hidden="false" customHeight="true" outlineLevel="0" collapsed="false">
      <c r="A251" s="18" t="n">
        <v>250</v>
      </c>
      <c r="B251" s="18" t="s">
        <v>774</v>
      </c>
      <c r="C251" s="18" t="s">
        <v>833</v>
      </c>
      <c r="D251" s="18" t="s">
        <v>853</v>
      </c>
      <c r="E251" s="24" t="s">
        <v>9</v>
      </c>
      <c r="F251" s="18" t="s">
        <v>854</v>
      </c>
      <c r="G251" s="18"/>
      <c r="H251" s="18"/>
      <c r="I251" s="18" t="s">
        <v>855</v>
      </c>
      <c r="J251" s="18"/>
      <c r="K251" s="18"/>
    </row>
    <row r="252" customFormat="false" ht="23.25" hidden="false" customHeight="true" outlineLevel="0" collapsed="false">
      <c r="A252" s="18" t="n">
        <v>251</v>
      </c>
      <c r="B252" s="18" t="s">
        <v>774</v>
      </c>
      <c r="C252" s="18" t="s">
        <v>833</v>
      </c>
      <c r="D252" s="18" t="s">
        <v>856</v>
      </c>
      <c r="E252" s="24" t="s">
        <v>9</v>
      </c>
      <c r="F252" s="18" t="s">
        <v>857</v>
      </c>
      <c r="G252" s="18"/>
      <c r="H252" s="18"/>
      <c r="I252" s="18" t="s">
        <v>858</v>
      </c>
      <c r="J252" s="18"/>
      <c r="K252" s="18"/>
    </row>
    <row r="253" customFormat="false" ht="23.25" hidden="false" customHeight="true" outlineLevel="0" collapsed="false">
      <c r="A253" s="18" t="n">
        <v>252</v>
      </c>
      <c r="B253" s="18" t="s">
        <v>774</v>
      </c>
      <c r="C253" s="18" t="s">
        <v>833</v>
      </c>
      <c r="D253" s="18" t="s">
        <v>841</v>
      </c>
      <c r="E253" s="20" t="s">
        <v>5</v>
      </c>
      <c r="F253" s="18" t="s">
        <v>842</v>
      </c>
      <c r="G253" s="18" t="s">
        <v>843</v>
      </c>
      <c r="H253" s="18"/>
      <c r="I253" s="18" t="s">
        <v>681</v>
      </c>
      <c r="J253" s="18"/>
      <c r="K253" s="18" t="s">
        <v>859</v>
      </c>
    </row>
    <row r="254" customFormat="false" ht="23.25" hidden="false" customHeight="true" outlineLevel="0" collapsed="false">
      <c r="A254" s="18" t="n">
        <v>253</v>
      </c>
      <c r="B254" s="18" t="s">
        <v>774</v>
      </c>
      <c r="C254" s="18" t="s">
        <v>860</v>
      </c>
      <c r="D254" s="18" t="s">
        <v>861</v>
      </c>
      <c r="E254" s="24" t="s">
        <v>9</v>
      </c>
      <c r="F254" s="18" t="s">
        <v>862</v>
      </c>
      <c r="G254" s="18"/>
      <c r="H254" s="18"/>
      <c r="I254" s="18" t="s">
        <v>257</v>
      </c>
      <c r="J254" s="18"/>
      <c r="K254" s="18"/>
    </row>
    <row r="255" customFormat="false" ht="23.25" hidden="false" customHeight="true" outlineLevel="0" collapsed="false">
      <c r="A255" s="18" t="n">
        <v>254</v>
      </c>
      <c r="B255" s="18" t="s">
        <v>774</v>
      </c>
      <c r="C255" s="18" t="s">
        <v>860</v>
      </c>
      <c r="D255" s="18" t="s">
        <v>863</v>
      </c>
      <c r="E255" s="24" t="s">
        <v>9</v>
      </c>
      <c r="F255" s="18" t="s">
        <v>864</v>
      </c>
      <c r="G255" s="18"/>
      <c r="H255" s="18"/>
      <c r="I255" s="18" t="s">
        <v>693</v>
      </c>
      <c r="J255" s="18"/>
      <c r="K255" s="18"/>
    </row>
    <row r="256" customFormat="false" ht="23.25" hidden="false" customHeight="true" outlineLevel="0" collapsed="false">
      <c r="A256" s="18" t="n">
        <v>255</v>
      </c>
      <c r="B256" s="18" t="s">
        <v>774</v>
      </c>
      <c r="C256" s="18" t="s">
        <v>865</v>
      </c>
      <c r="D256" s="18" t="s">
        <v>866</v>
      </c>
      <c r="E256" s="24" t="s">
        <v>9</v>
      </c>
      <c r="F256" s="18" t="s">
        <v>867</v>
      </c>
      <c r="G256" s="18"/>
      <c r="H256" s="18"/>
      <c r="I256" s="18" t="s">
        <v>289</v>
      </c>
      <c r="J256" s="18"/>
      <c r="K256" s="18"/>
    </row>
    <row r="257" customFormat="false" ht="34.5" hidden="false" customHeight="true" outlineLevel="0" collapsed="false">
      <c r="A257" s="18" t="n">
        <v>256</v>
      </c>
      <c r="B257" s="18" t="s">
        <v>774</v>
      </c>
      <c r="C257" s="18" t="s">
        <v>868</v>
      </c>
      <c r="D257" s="18" t="s">
        <v>869</v>
      </c>
      <c r="E257" s="24" t="s">
        <v>9</v>
      </c>
      <c r="F257" s="18" t="s">
        <v>870</v>
      </c>
      <c r="G257" s="18"/>
      <c r="H257" s="18"/>
      <c r="I257" s="18" t="s">
        <v>321</v>
      </c>
      <c r="J257" s="18"/>
      <c r="K257" s="18"/>
    </row>
    <row r="258" customFormat="false" ht="23.25" hidden="false" customHeight="true" outlineLevel="0" collapsed="false">
      <c r="A258" s="18" t="n">
        <v>257</v>
      </c>
      <c r="B258" s="18" t="s">
        <v>774</v>
      </c>
      <c r="C258" s="18" t="s">
        <v>868</v>
      </c>
      <c r="D258" s="18" t="s">
        <v>871</v>
      </c>
      <c r="E258" s="24" t="s">
        <v>9</v>
      </c>
      <c r="F258" s="18" t="s">
        <v>872</v>
      </c>
      <c r="G258" s="18"/>
      <c r="H258" s="18"/>
      <c r="I258" s="18" t="s">
        <v>326</v>
      </c>
      <c r="J258" s="18"/>
      <c r="K258" s="18"/>
    </row>
    <row r="259" customFormat="false" ht="23.25" hidden="false" customHeight="true" outlineLevel="0" collapsed="false">
      <c r="A259" s="18" t="n">
        <v>258</v>
      </c>
      <c r="B259" s="18" t="s">
        <v>774</v>
      </c>
      <c r="C259" s="18" t="s">
        <v>873</v>
      </c>
      <c r="D259" s="18" t="s">
        <v>874</v>
      </c>
      <c r="E259" s="24" t="s">
        <v>9</v>
      </c>
      <c r="F259" s="18" t="s">
        <v>875</v>
      </c>
      <c r="G259" s="18"/>
      <c r="H259" s="18"/>
      <c r="I259" s="18" t="s">
        <v>377</v>
      </c>
      <c r="J259" s="18"/>
      <c r="K259" s="18"/>
    </row>
    <row r="260" customFormat="false" ht="34.5" hidden="false" customHeight="true" outlineLevel="0" collapsed="false">
      <c r="A260" s="18" t="n">
        <v>259</v>
      </c>
      <c r="B260" s="18" t="s">
        <v>774</v>
      </c>
      <c r="C260" s="18" t="s">
        <v>873</v>
      </c>
      <c r="D260" s="18" t="s">
        <v>876</v>
      </c>
      <c r="E260" s="24" t="s">
        <v>9</v>
      </c>
      <c r="F260" s="18" t="s">
        <v>877</v>
      </c>
      <c r="G260" s="18"/>
      <c r="H260" s="18"/>
      <c r="I260" s="18" t="s">
        <v>758</v>
      </c>
      <c r="J260" s="18"/>
      <c r="K260" s="18"/>
    </row>
    <row r="261" customFormat="false" ht="23.25" hidden="false" customHeight="true" outlineLevel="0" collapsed="false">
      <c r="A261" s="18" t="n">
        <v>260</v>
      </c>
      <c r="B261" s="18" t="s">
        <v>774</v>
      </c>
      <c r="C261" s="18" t="s">
        <v>878</v>
      </c>
      <c r="D261" s="18" t="s">
        <v>879</v>
      </c>
      <c r="E261" s="24" t="s">
        <v>9</v>
      </c>
      <c r="F261" s="18" t="s">
        <v>880</v>
      </c>
      <c r="G261" s="18"/>
      <c r="H261" s="18"/>
      <c r="I261" s="18" t="s">
        <v>388</v>
      </c>
      <c r="J261" s="18"/>
      <c r="K261" s="18"/>
    </row>
    <row r="262" customFormat="false" ht="23.25" hidden="false" customHeight="true" outlineLevel="0" collapsed="false">
      <c r="A262" s="18" t="n">
        <v>261</v>
      </c>
      <c r="B262" s="18" t="s">
        <v>774</v>
      </c>
      <c r="C262" s="18" t="s">
        <v>878</v>
      </c>
      <c r="D262" s="18" t="s">
        <v>881</v>
      </c>
      <c r="E262" s="24" t="s">
        <v>9</v>
      </c>
      <c r="F262" s="18" t="s">
        <v>882</v>
      </c>
      <c r="G262" s="18"/>
      <c r="H262" s="18"/>
      <c r="I262" s="18" t="s">
        <v>767</v>
      </c>
      <c r="J262" s="18"/>
      <c r="K262" s="18"/>
    </row>
    <row r="263" customFormat="false" ht="34.5" hidden="false" customHeight="true" outlineLevel="0" collapsed="false">
      <c r="A263" s="18" t="n">
        <v>262</v>
      </c>
      <c r="B263" s="18" t="s">
        <v>774</v>
      </c>
      <c r="C263" s="18" t="s">
        <v>878</v>
      </c>
      <c r="D263" s="18" t="s">
        <v>883</v>
      </c>
      <c r="E263" s="24" t="s">
        <v>9</v>
      </c>
      <c r="F263" s="18" t="s">
        <v>884</v>
      </c>
      <c r="G263" s="18"/>
      <c r="H263" s="18"/>
      <c r="I263" s="18" t="s">
        <v>770</v>
      </c>
      <c r="J263" s="18"/>
      <c r="K263" s="18"/>
    </row>
    <row r="264" customFormat="false" ht="34.5" hidden="false" customHeight="true" outlineLevel="0" collapsed="false">
      <c r="A264" s="18" t="n">
        <v>263</v>
      </c>
      <c r="B264" s="18" t="s">
        <v>774</v>
      </c>
      <c r="C264" s="18" t="s">
        <v>878</v>
      </c>
      <c r="D264" s="18" t="s">
        <v>885</v>
      </c>
      <c r="E264" s="24" t="s">
        <v>9</v>
      </c>
      <c r="F264" s="18" t="s">
        <v>886</v>
      </c>
      <c r="G264" s="18"/>
      <c r="H264" s="18"/>
      <c r="I264" s="18" t="s">
        <v>887</v>
      </c>
      <c r="J264" s="18"/>
      <c r="K264" s="18"/>
    </row>
    <row r="265" customFormat="false" ht="34.5" hidden="false" customHeight="true" outlineLevel="0" collapsed="false">
      <c r="A265" s="18" t="n">
        <v>264</v>
      </c>
      <c r="B265" s="18" t="s">
        <v>774</v>
      </c>
      <c r="C265" s="18" t="s">
        <v>888</v>
      </c>
      <c r="D265" s="18" t="s">
        <v>889</v>
      </c>
      <c r="E265" s="23" t="s">
        <v>7</v>
      </c>
      <c r="F265" s="18" t="s">
        <v>890</v>
      </c>
      <c r="G265" s="18" t="s">
        <v>891</v>
      </c>
      <c r="H265" s="18"/>
      <c r="I265" s="18" t="s">
        <v>394</v>
      </c>
      <c r="J265" s="18"/>
      <c r="K265" s="18" t="s">
        <v>892</v>
      </c>
    </row>
    <row r="266" customFormat="false" ht="34.5" hidden="false" customHeight="true" outlineLevel="0" collapsed="false">
      <c r="A266" s="18" t="n">
        <v>265</v>
      </c>
      <c r="B266" s="18" t="s">
        <v>774</v>
      </c>
      <c r="C266" s="18" t="s">
        <v>888</v>
      </c>
      <c r="D266" s="18" t="s">
        <v>893</v>
      </c>
      <c r="E266" s="24" t="s">
        <v>9</v>
      </c>
      <c r="F266" s="18" t="s">
        <v>894</v>
      </c>
      <c r="G266" s="18"/>
      <c r="H266" s="18"/>
      <c r="I266" s="18" t="s">
        <v>895</v>
      </c>
      <c r="J266" s="18"/>
      <c r="K266" s="18"/>
    </row>
    <row r="267" customFormat="false" ht="34.5" hidden="false" customHeight="true" outlineLevel="0" collapsed="false">
      <c r="A267" s="18" t="n">
        <v>266</v>
      </c>
      <c r="B267" s="18" t="s">
        <v>774</v>
      </c>
      <c r="C267" s="18" t="s">
        <v>888</v>
      </c>
      <c r="D267" s="18" t="s">
        <v>896</v>
      </c>
      <c r="E267" s="24" t="s">
        <v>9</v>
      </c>
      <c r="F267" s="18" t="s">
        <v>897</v>
      </c>
      <c r="G267" s="18"/>
      <c r="H267" s="18"/>
      <c r="I267" s="18" t="s">
        <v>898</v>
      </c>
      <c r="J267" s="18"/>
      <c r="K267" s="18"/>
    </row>
    <row r="268" customFormat="false" ht="34.5" hidden="false" customHeight="true" outlineLevel="0" collapsed="false">
      <c r="A268" s="18" t="n">
        <v>267</v>
      </c>
      <c r="B268" s="18" t="s">
        <v>774</v>
      </c>
      <c r="C268" s="18" t="s">
        <v>888</v>
      </c>
      <c r="D268" s="18" t="s">
        <v>899</v>
      </c>
      <c r="E268" s="24" t="s">
        <v>9</v>
      </c>
      <c r="F268" s="18" t="s">
        <v>900</v>
      </c>
      <c r="G268" s="18"/>
      <c r="H268" s="18"/>
      <c r="I268" s="18" t="s">
        <v>901</v>
      </c>
      <c r="J268" s="18"/>
      <c r="K268" s="18"/>
    </row>
    <row r="269" customFormat="false" ht="34.5" hidden="false" customHeight="true" outlineLevel="0" collapsed="false">
      <c r="A269" s="18" t="n">
        <v>268</v>
      </c>
      <c r="B269" s="18" t="s">
        <v>774</v>
      </c>
      <c r="C269" s="18" t="s">
        <v>888</v>
      </c>
      <c r="D269" s="18" t="s">
        <v>902</v>
      </c>
      <c r="E269" s="24" t="s">
        <v>9</v>
      </c>
      <c r="F269" s="18" t="s">
        <v>897</v>
      </c>
      <c r="G269" s="18"/>
      <c r="H269" s="18"/>
      <c r="I269" s="18" t="s">
        <v>898</v>
      </c>
      <c r="J269" s="18"/>
      <c r="K269" s="18"/>
    </row>
    <row r="270" customFormat="false" ht="34.5" hidden="false" customHeight="true" outlineLevel="0" collapsed="false">
      <c r="A270" s="18" t="n">
        <v>269</v>
      </c>
      <c r="B270" s="18" t="s">
        <v>774</v>
      </c>
      <c r="C270" s="18" t="s">
        <v>888</v>
      </c>
      <c r="D270" s="18" t="s">
        <v>903</v>
      </c>
      <c r="E270" s="24" t="s">
        <v>9</v>
      </c>
      <c r="F270" s="18" t="s">
        <v>904</v>
      </c>
      <c r="G270" s="18"/>
      <c r="H270" s="18"/>
      <c r="I270" s="18" t="s">
        <v>404</v>
      </c>
      <c r="J270" s="18"/>
      <c r="K270" s="18"/>
    </row>
    <row r="271" customFormat="false" ht="34.5" hidden="false" customHeight="true" outlineLevel="0" collapsed="false">
      <c r="A271" s="18" t="n">
        <v>270</v>
      </c>
      <c r="B271" s="18" t="s">
        <v>774</v>
      </c>
      <c r="C271" s="18" t="s">
        <v>888</v>
      </c>
      <c r="D271" s="18" t="s">
        <v>905</v>
      </c>
      <c r="E271" s="24" t="s">
        <v>9</v>
      </c>
      <c r="F271" s="18" t="s">
        <v>906</v>
      </c>
      <c r="G271" s="18"/>
      <c r="H271" s="18"/>
      <c r="I271" s="18" t="s">
        <v>907</v>
      </c>
      <c r="J271" s="18"/>
      <c r="K271" s="18"/>
    </row>
    <row r="272" customFormat="false" ht="23.25" hidden="false" customHeight="true" outlineLevel="0" collapsed="false">
      <c r="A272" s="18" t="n">
        <v>271</v>
      </c>
      <c r="B272" s="18" t="s">
        <v>908</v>
      </c>
      <c r="C272" s="18" t="s">
        <v>909</v>
      </c>
      <c r="D272" s="18" t="s">
        <v>910</v>
      </c>
      <c r="E272" s="21" t="s">
        <v>15</v>
      </c>
      <c r="F272" s="18" t="s">
        <v>911</v>
      </c>
      <c r="G272" s="18"/>
      <c r="H272" s="18"/>
      <c r="I272" s="18"/>
      <c r="J272" s="18"/>
      <c r="K272" s="18" t="s">
        <v>912</v>
      </c>
    </row>
    <row r="273" customFormat="false" ht="23.25" hidden="false" customHeight="true" outlineLevel="0" collapsed="false">
      <c r="A273" s="18" t="n">
        <v>272</v>
      </c>
      <c r="B273" s="18" t="s">
        <v>908</v>
      </c>
      <c r="C273" s="18" t="s">
        <v>909</v>
      </c>
      <c r="D273" s="18" t="s">
        <v>913</v>
      </c>
      <c r="E273" s="21" t="s">
        <v>15</v>
      </c>
      <c r="F273" s="18" t="s">
        <v>914</v>
      </c>
      <c r="G273" s="18"/>
      <c r="H273" s="18"/>
      <c r="I273" s="18"/>
      <c r="J273" s="18"/>
      <c r="K273" s="18" t="s">
        <v>912</v>
      </c>
    </row>
    <row r="274" customFormat="false" ht="23.25" hidden="false" customHeight="true" outlineLevel="0" collapsed="false">
      <c r="A274" s="18" t="n">
        <v>273</v>
      </c>
      <c r="B274" s="18" t="s">
        <v>915</v>
      </c>
      <c r="C274" s="18" t="s">
        <v>916</v>
      </c>
      <c r="D274" s="18" t="s">
        <v>917</v>
      </c>
      <c r="E274" s="21" t="s">
        <v>15</v>
      </c>
      <c r="F274" s="18" t="s">
        <v>918</v>
      </c>
      <c r="G274" s="18"/>
      <c r="H274" s="18"/>
      <c r="I274" s="18"/>
      <c r="J274" s="18"/>
      <c r="K274" s="18" t="s">
        <v>919</v>
      </c>
    </row>
    <row r="275" customFormat="false" ht="15" hidden="false" customHeight="true" outlineLevel="0" collapsed="false">
      <c r="A275" s="18" t="n">
        <v>274</v>
      </c>
      <c r="B275" s="18" t="s">
        <v>915</v>
      </c>
      <c r="C275" s="18" t="s">
        <v>920</v>
      </c>
      <c r="D275" s="18" t="s">
        <v>921</v>
      </c>
      <c r="E275" s="21" t="s">
        <v>15</v>
      </c>
      <c r="F275" s="18" t="s">
        <v>922</v>
      </c>
      <c r="G275" s="18" t="s">
        <v>480</v>
      </c>
      <c r="H275" s="18" t="s">
        <v>923</v>
      </c>
      <c r="I275" s="18"/>
      <c r="J275" s="18"/>
      <c r="K275" s="18" t="s">
        <v>924</v>
      </c>
    </row>
    <row r="276" customFormat="false" ht="15" hidden="false" customHeight="true" outlineLevel="0" collapsed="false">
      <c r="A276" s="18" t="n">
        <v>275</v>
      </c>
      <c r="B276" s="18" t="s">
        <v>915</v>
      </c>
      <c r="C276" s="18" t="s">
        <v>925</v>
      </c>
      <c r="D276" s="18" t="s">
        <v>926</v>
      </c>
      <c r="E276" s="21" t="s">
        <v>15</v>
      </c>
      <c r="F276" s="18" t="s">
        <v>927</v>
      </c>
      <c r="G276" s="18" t="s">
        <v>928</v>
      </c>
      <c r="H276" s="18" t="s">
        <v>929</v>
      </c>
      <c r="I276" s="18"/>
      <c r="J276" s="18"/>
      <c r="K276" s="18" t="s">
        <v>930</v>
      </c>
    </row>
    <row r="277" customFormat="false" ht="15" hidden="false" customHeight="true" outlineLevel="0" collapsed="false">
      <c r="A277" s="18" t="n">
        <v>276</v>
      </c>
      <c r="B277" s="18" t="s">
        <v>915</v>
      </c>
      <c r="C277" s="18" t="s">
        <v>931</v>
      </c>
      <c r="D277" s="18" t="s">
        <v>932</v>
      </c>
      <c r="E277" s="21" t="s">
        <v>15</v>
      </c>
      <c r="F277" s="18" t="s">
        <v>291</v>
      </c>
      <c r="G277" s="18"/>
      <c r="H277" s="18"/>
      <c r="I277" s="18"/>
      <c r="J277" s="18"/>
      <c r="K277" s="18" t="s">
        <v>933</v>
      </c>
    </row>
    <row r="278" customFormat="false" ht="15" hidden="false" customHeight="true" outlineLevel="0" collapsed="false">
      <c r="A278" s="18" t="n">
        <v>277</v>
      </c>
      <c r="B278" s="18" t="s">
        <v>915</v>
      </c>
      <c r="C278" s="18" t="s">
        <v>934</v>
      </c>
      <c r="D278" s="18" t="s">
        <v>935</v>
      </c>
      <c r="E278" s="21" t="s">
        <v>15</v>
      </c>
      <c r="F278" s="18" t="s">
        <v>936</v>
      </c>
      <c r="G278" s="18"/>
      <c r="H278" s="18"/>
      <c r="I278" s="18"/>
      <c r="J278" s="18"/>
      <c r="K278" s="18" t="s">
        <v>937</v>
      </c>
    </row>
    <row r="279" customFormat="false" ht="15" hidden="false" customHeight="true" outlineLevel="0" collapsed="false">
      <c r="A279" s="18" t="n">
        <v>278</v>
      </c>
      <c r="B279" s="18" t="s">
        <v>915</v>
      </c>
      <c r="C279" s="18" t="s">
        <v>938</v>
      </c>
      <c r="D279" s="18" t="s">
        <v>939</v>
      </c>
      <c r="E279" s="21" t="s">
        <v>15</v>
      </c>
      <c r="F279" s="18" t="s">
        <v>940</v>
      </c>
      <c r="G279" s="18"/>
      <c r="H279" s="18"/>
      <c r="I279" s="18"/>
      <c r="J279" s="18"/>
      <c r="K279" s="18" t="s">
        <v>941</v>
      </c>
    </row>
  </sheetData>
  <autoFilter ref="A1:K2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5" min="3" style="1" width="45"/>
    <col collapsed="false" customWidth="true" hidden="false" outlineLevel="0" max="6" min="6" style="1" width="32"/>
    <col collapsed="false" customWidth="true" hidden="false" outlineLevel="0" max="7" min="7" style="1" width="40"/>
    <col collapsed="false" customWidth="true" hidden="false" outlineLevel="0" max="8" min="8" style="1" width="9"/>
    <col collapsed="false" customWidth="true" hidden="false" outlineLevel="0" max="9" min="9" style="1" width="40"/>
    <col collapsed="false" customWidth="true" hidden="false" outlineLevel="0" max="10" min="10" style="1" width="11"/>
  </cols>
  <sheetData>
    <row r="1" customFormat="false" ht="26.25" hidden="false" customHeight="true" outlineLevel="0" collapsed="false">
      <c r="A1" s="17" t="s">
        <v>42</v>
      </c>
      <c r="B1" s="17" t="s">
        <v>43</v>
      </c>
      <c r="C1" s="17" t="s">
        <v>942</v>
      </c>
      <c r="D1" s="17" t="s">
        <v>943</v>
      </c>
      <c r="E1" s="17" t="s">
        <v>944</v>
      </c>
      <c r="F1" s="17" t="s">
        <v>945</v>
      </c>
      <c r="G1" s="17" t="s">
        <v>946</v>
      </c>
      <c r="H1" s="17" t="s">
        <v>49</v>
      </c>
      <c r="I1" s="17" t="s">
        <v>51</v>
      </c>
      <c r="J1" s="17" t="s">
        <v>947</v>
      </c>
    </row>
    <row r="2" customFormat="false" ht="23.25" hidden="false" customHeight="true" outlineLevel="0" collapsed="false">
      <c r="A2" s="18" t="n">
        <v>60</v>
      </c>
      <c r="B2" s="18" t="s">
        <v>284</v>
      </c>
      <c r="C2" s="18" t="s">
        <v>304</v>
      </c>
      <c r="D2" s="20" t="s">
        <v>948</v>
      </c>
      <c r="E2" s="18" t="s">
        <v>949</v>
      </c>
      <c r="F2" s="18"/>
      <c r="G2" s="18" t="s">
        <v>305</v>
      </c>
      <c r="H2" s="18" t="s">
        <v>306</v>
      </c>
      <c r="I2" s="18"/>
      <c r="J2" s="25"/>
    </row>
    <row r="3" customFormat="false" ht="34.5" hidden="false" customHeight="true" outlineLevel="0" collapsed="false">
      <c r="A3" s="18" t="n">
        <v>223</v>
      </c>
      <c r="B3" s="18" t="s">
        <v>774</v>
      </c>
      <c r="C3" s="18" t="s">
        <v>787</v>
      </c>
      <c r="D3" s="20" t="s">
        <v>950</v>
      </c>
      <c r="E3" s="18" t="s">
        <v>951</v>
      </c>
      <c r="F3" s="18"/>
      <c r="G3" s="18" t="s">
        <v>788</v>
      </c>
      <c r="H3" s="18" t="s">
        <v>789</v>
      </c>
      <c r="I3" s="18" t="s">
        <v>952</v>
      </c>
      <c r="J3" s="25"/>
    </row>
    <row r="4" customFormat="false" ht="34.5" hidden="false" customHeight="true" outlineLevel="0" collapsed="false">
      <c r="A4" s="18" t="n">
        <v>224</v>
      </c>
      <c r="B4" s="18" t="s">
        <v>774</v>
      </c>
      <c r="C4" s="18" t="s">
        <v>787</v>
      </c>
      <c r="D4" s="20" t="s">
        <v>953</v>
      </c>
      <c r="E4" s="18"/>
      <c r="F4" s="18"/>
      <c r="G4" s="18" t="s">
        <v>788</v>
      </c>
      <c r="H4" s="18" t="s">
        <v>789</v>
      </c>
      <c r="I4" s="18" t="s">
        <v>954</v>
      </c>
      <c r="J4" s="25"/>
    </row>
    <row r="5" customFormat="false" ht="45.75" hidden="false" customHeight="true" outlineLevel="0" collapsed="false">
      <c r="A5" s="18" t="n">
        <v>225</v>
      </c>
      <c r="B5" s="18" t="s">
        <v>774</v>
      </c>
      <c r="C5" s="18" t="s">
        <v>790</v>
      </c>
      <c r="D5" s="20" t="s">
        <v>955</v>
      </c>
      <c r="E5" s="18" t="s">
        <v>956</v>
      </c>
      <c r="F5" s="18" t="s">
        <v>957</v>
      </c>
      <c r="G5" s="18" t="s">
        <v>791</v>
      </c>
      <c r="H5" s="18" t="s">
        <v>146</v>
      </c>
      <c r="I5" s="18"/>
      <c r="J5" s="25"/>
    </row>
    <row r="6" customFormat="false" ht="34.5" hidden="false" customHeight="true" outlineLevel="0" collapsed="false">
      <c r="A6" s="18" t="n">
        <v>226</v>
      </c>
      <c r="B6" s="18" t="s">
        <v>774</v>
      </c>
      <c r="C6" s="18" t="s">
        <v>792</v>
      </c>
      <c r="D6" s="20" t="s">
        <v>958</v>
      </c>
      <c r="E6" s="18" t="s">
        <v>959</v>
      </c>
      <c r="F6" s="18"/>
      <c r="G6" s="18" t="s">
        <v>793</v>
      </c>
      <c r="H6" s="18" t="s">
        <v>578</v>
      </c>
      <c r="I6" s="18"/>
      <c r="J6" s="25"/>
    </row>
    <row r="7" customFormat="false" ht="34.5" hidden="false" customHeight="true" outlineLevel="0" collapsed="false">
      <c r="A7" s="18" t="n">
        <v>227</v>
      </c>
      <c r="B7" s="18" t="s">
        <v>774</v>
      </c>
      <c r="C7" s="18" t="s">
        <v>794</v>
      </c>
      <c r="D7" s="20" t="s">
        <v>960</v>
      </c>
      <c r="E7" s="18" t="s">
        <v>961</v>
      </c>
      <c r="F7" s="18" t="s">
        <v>962</v>
      </c>
      <c r="G7" s="18" t="s">
        <v>795</v>
      </c>
      <c r="H7" s="18" t="s">
        <v>581</v>
      </c>
      <c r="I7" s="18"/>
      <c r="J7" s="25"/>
    </row>
    <row r="8" customFormat="false" ht="34.5" hidden="false" customHeight="true" outlineLevel="0" collapsed="false">
      <c r="A8" s="18" t="n">
        <v>228</v>
      </c>
      <c r="B8" s="18" t="s">
        <v>774</v>
      </c>
      <c r="C8" s="18" t="s">
        <v>796</v>
      </c>
      <c r="D8" s="20" t="s">
        <v>963</v>
      </c>
      <c r="E8" s="18" t="s">
        <v>964</v>
      </c>
      <c r="F8" s="18" t="s">
        <v>965</v>
      </c>
      <c r="G8" s="18" t="s">
        <v>797</v>
      </c>
      <c r="H8" s="18" t="s">
        <v>584</v>
      </c>
      <c r="I8" s="18"/>
      <c r="J8" s="25"/>
    </row>
    <row r="9" customFormat="false" ht="23.25" hidden="false" customHeight="true" outlineLevel="0" collapsed="false">
      <c r="A9" s="18" t="n">
        <v>229</v>
      </c>
      <c r="B9" s="18" t="s">
        <v>774</v>
      </c>
      <c r="C9" s="18" t="s">
        <v>799</v>
      </c>
      <c r="D9" s="20" t="s">
        <v>966</v>
      </c>
      <c r="E9" s="18" t="s">
        <v>967</v>
      </c>
      <c r="F9" s="18"/>
      <c r="G9" s="18" t="s">
        <v>800</v>
      </c>
      <c r="H9" s="18" t="s">
        <v>801</v>
      </c>
      <c r="I9" s="18"/>
      <c r="J9" s="25"/>
    </row>
    <row r="10" customFormat="false" ht="34.5" hidden="false" customHeight="true" outlineLevel="0" collapsed="false">
      <c r="A10" s="18" t="n">
        <v>230</v>
      </c>
      <c r="B10" s="18" t="s">
        <v>774</v>
      </c>
      <c r="C10" s="18" t="s">
        <v>802</v>
      </c>
      <c r="D10" s="20" t="s">
        <v>968</v>
      </c>
      <c r="E10" s="18" t="s">
        <v>969</v>
      </c>
      <c r="F10" s="18"/>
      <c r="G10" s="18" t="s">
        <v>800</v>
      </c>
      <c r="H10" s="18" t="s">
        <v>801</v>
      </c>
      <c r="I10" s="18" t="s">
        <v>970</v>
      </c>
      <c r="J10" s="25"/>
    </row>
    <row r="11" customFormat="false" ht="34.5" hidden="false" customHeight="true" outlineLevel="0" collapsed="false">
      <c r="A11" s="18" t="n">
        <v>231</v>
      </c>
      <c r="B11" s="18" t="s">
        <v>774</v>
      </c>
      <c r="C11" s="18" t="s">
        <v>803</v>
      </c>
      <c r="D11" s="20" t="s">
        <v>971</v>
      </c>
      <c r="E11" s="18" t="s">
        <v>972</v>
      </c>
      <c r="F11" s="18"/>
      <c r="G11" s="18" t="s">
        <v>804</v>
      </c>
      <c r="H11" s="18" t="s">
        <v>158</v>
      </c>
      <c r="I11" s="18"/>
      <c r="J11" s="25"/>
    </row>
    <row r="12" customFormat="false" ht="45.75" hidden="false" customHeight="true" outlineLevel="0" collapsed="false">
      <c r="A12" s="18" t="n">
        <v>232</v>
      </c>
      <c r="B12" s="18" t="s">
        <v>774</v>
      </c>
      <c r="C12" s="18" t="s">
        <v>805</v>
      </c>
      <c r="D12" s="20" t="s">
        <v>973</v>
      </c>
      <c r="E12" s="18"/>
      <c r="F12" s="18"/>
      <c r="G12" s="18" t="s">
        <v>806</v>
      </c>
      <c r="H12" s="18" t="s">
        <v>807</v>
      </c>
      <c r="I12" s="18"/>
      <c r="J12" s="25"/>
    </row>
    <row r="13" customFormat="false" ht="34.5" hidden="false" customHeight="true" outlineLevel="0" collapsed="false">
      <c r="A13" s="18" t="n">
        <v>233</v>
      </c>
      <c r="B13" s="18" t="s">
        <v>774</v>
      </c>
      <c r="C13" s="18" t="s">
        <v>808</v>
      </c>
      <c r="D13" s="20" t="s">
        <v>974</v>
      </c>
      <c r="E13" s="18"/>
      <c r="F13" s="18"/>
      <c r="G13" s="18" t="s">
        <v>809</v>
      </c>
      <c r="H13" s="18" t="s">
        <v>810</v>
      </c>
      <c r="I13" s="18"/>
      <c r="J13" s="25"/>
    </row>
    <row r="14" customFormat="false" ht="34.5" hidden="false" customHeight="true" outlineLevel="0" collapsed="false">
      <c r="A14" s="18" t="n">
        <v>234</v>
      </c>
      <c r="B14" s="18" t="s">
        <v>774</v>
      </c>
      <c r="C14" s="18" t="s">
        <v>811</v>
      </c>
      <c r="D14" s="20" t="s">
        <v>975</v>
      </c>
      <c r="E14" s="18"/>
      <c r="F14" s="18"/>
      <c r="G14" s="18" t="s">
        <v>812</v>
      </c>
      <c r="H14" s="18" t="s">
        <v>813</v>
      </c>
      <c r="I14" s="18"/>
      <c r="J14" s="25"/>
    </row>
    <row r="15" customFormat="false" ht="34.5" hidden="false" customHeight="true" outlineLevel="0" collapsed="false">
      <c r="A15" s="18" t="n">
        <v>235</v>
      </c>
      <c r="B15" s="18" t="s">
        <v>774</v>
      </c>
      <c r="C15" s="18" t="s">
        <v>814</v>
      </c>
      <c r="D15" s="20" t="s">
        <v>976</v>
      </c>
      <c r="E15" s="18" t="s">
        <v>977</v>
      </c>
      <c r="F15" s="18"/>
      <c r="G15" s="18" t="s">
        <v>815</v>
      </c>
      <c r="H15" s="18" t="s">
        <v>816</v>
      </c>
      <c r="I15" s="18"/>
      <c r="J15" s="25"/>
    </row>
    <row r="16" customFormat="false" ht="57" hidden="false" customHeight="true" outlineLevel="0" collapsed="false">
      <c r="A16" s="18" t="n">
        <v>236</v>
      </c>
      <c r="B16" s="18" t="s">
        <v>774</v>
      </c>
      <c r="C16" s="18" t="s">
        <v>817</v>
      </c>
      <c r="D16" s="20" t="s">
        <v>978</v>
      </c>
      <c r="E16" s="18" t="s">
        <v>979</v>
      </c>
      <c r="F16" s="18"/>
      <c r="G16" s="18" t="s">
        <v>818</v>
      </c>
      <c r="H16" s="18" t="s">
        <v>617</v>
      </c>
      <c r="I16" s="18" t="s">
        <v>980</v>
      </c>
      <c r="J16" s="25"/>
    </row>
    <row r="17" customFormat="false" ht="45.75" hidden="false" customHeight="true" outlineLevel="0" collapsed="false">
      <c r="A17" s="18" t="n">
        <v>237</v>
      </c>
      <c r="B17" s="18" t="s">
        <v>774</v>
      </c>
      <c r="C17" s="18" t="s">
        <v>819</v>
      </c>
      <c r="D17" s="20" t="s">
        <v>981</v>
      </c>
      <c r="E17" s="18" t="s">
        <v>982</v>
      </c>
      <c r="F17" s="18"/>
      <c r="G17" s="18" t="s">
        <v>818</v>
      </c>
      <c r="H17" s="18" t="s">
        <v>617</v>
      </c>
      <c r="I17" s="18" t="s">
        <v>983</v>
      </c>
      <c r="J17" s="25"/>
    </row>
    <row r="18" customFormat="false" ht="57" hidden="false" customHeight="true" outlineLevel="0" collapsed="false">
      <c r="A18" s="18" t="n">
        <v>238</v>
      </c>
      <c r="B18" s="18" t="s">
        <v>774</v>
      </c>
      <c r="C18" s="18" t="s">
        <v>820</v>
      </c>
      <c r="D18" s="20" t="s">
        <v>984</v>
      </c>
      <c r="E18" s="18"/>
      <c r="F18" s="18"/>
      <c r="G18" s="18" t="s">
        <v>818</v>
      </c>
      <c r="H18" s="18" t="s">
        <v>617</v>
      </c>
      <c r="I18" s="18" t="s">
        <v>985</v>
      </c>
      <c r="J18" s="25"/>
    </row>
    <row r="19" customFormat="false" ht="34.5" hidden="false" customHeight="true" outlineLevel="0" collapsed="false">
      <c r="A19" s="18" t="n">
        <v>243</v>
      </c>
      <c r="B19" s="18" t="s">
        <v>774</v>
      </c>
      <c r="C19" s="18" t="s">
        <v>837</v>
      </c>
      <c r="D19" s="20" t="s">
        <v>986</v>
      </c>
      <c r="E19" s="18" t="s">
        <v>987</v>
      </c>
      <c r="F19" s="18"/>
      <c r="G19" s="18" t="s">
        <v>838</v>
      </c>
      <c r="H19" s="18" t="s">
        <v>677</v>
      </c>
      <c r="I19" s="18"/>
      <c r="J19" s="25"/>
    </row>
    <row r="20" customFormat="false" ht="34.5" hidden="false" customHeight="true" outlineLevel="0" collapsed="false">
      <c r="A20" s="18" t="n">
        <v>244</v>
      </c>
      <c r="B20" s="18" t="s">
        <v>774</v>
      </c>
      <c r="C20" s="18" t="s">
        <v>839</v>
      </c>
      <c r="D20" s="20" t="s">
        <v>988</v>
      </c>
      <c r="E20" s="18" t="s">
        <v>989</v>
      </c>
      <c r="F20" s="18"/>
      <c r="G20" s="18" t="s">
        <v>840</v>
      </c>
      <c r="H20" s="18" t="s">
        <v>679</v>
      </c>
      <c r="I20" s="18"/>
      <c r="J20" s="25"/>
    </row>
    <row r="21" customFormat="false" ht="34.5" hidden="false" customHeight="true" outlineLevel="0" collapsed="false">
      <c r="A21" s="18" t="n">
        <v>247</v>
      </c>
      <c r="B21" s="18" t="s">
        <v>774</v>
      </c>
      <c r="C21" s="18" t="s">
        <v>847</v>
      </c>
      <c r="D21" s="20" t="s">
        <v>990</v>
      </c>
      <c r="E21" s="18"/>
      <c r="F21" s="18" t="s">
        <v>991</v>
      </c>
      <c r="G21" s="18" t="s">
        <v>848</v>
      </c>
      <c r="H21" s="18" t="s">
        <v>685</v>
      </c>
      <c r="I21" s="18"/>
      <c r="J21" s="25"/>
    </row>
    <row r="22" customFormat="false" ht="34.5" hidden="false" customHeight="true" outlineLevel="0" collapsed="false">
      <c r="A22" s="18" t="n">
        <v>248</v>
      </c>
      <c r="B22" s="18" t="s">
        <v>774</v>
      </c>
      <c r="C22" s="18" t="s">
        <v>849</v>
      </c>
      <c r="D22" s="20" t="s">
        <v>992</v>
      </c>
      <c r="E22" s="18"/>
      <c r="F22" s="18" t="s">
        <v>993</v>
      </c>
      <c r="G22" s="18" t="s">
        <v>850</v>
      </c>
      <c r="H22" s="18" t="s">
        <v>687</v>
      </c>
      <c r="I22" s="18"/>
      <c r="J22" s="25"/>
    </row>
    <row r="23" customFormat="false" ht="34.5" hidden="false" customHeight="true" outlineLevel="0" collapsed="false">
      <c r="A23" s="18" t="n">
        <v>249</v>
      </c>
      <c r="B23" s="18" t="s">
        <v>774</v>
      </c>
      <c r="C23" s="18" t="s">
        <v>851</v>
      </c>
      <c r="D23" s="20" t="s">
        <v>994</v>
      </c>
      <c r="E23" s="18"/>
      <c r="F23" s="18" t="s">
        <v>995</v>
      </c>
      <c r="G23" s="18" t="s">
        <v>852</v>
      </c>
      <c r="H23" s="18" t="s">
        <v>689</v>
      </c>
      <c r="I23" s="18"/>
      <c r="J23" s="25"/>
    </row>
    <row r="24" customFormat="false" ht="34.5" hidden="false" customHeight="true" outlineLevel="0" collapsed="false">
      <c r="A24" s="18" t="n">
        <v>250</v>
      </c>
      <c r="B24" s="18" t="s">
        <v>774</v>
      </c>
      <c r="C24" s="18" t="s">
        <v>853</v>
      </c>
      <c r="D24" s="20" t="s">
        <v>996</v>
      </c>
      <c r="E24" s="18" t="s">
        <v>997</v>
      </c>
      <c r="F24" s="18" t="s">
        <v>998</v>
      </c>
      <c r="G24" s="18" t="s">
        <v>854</v>
      </c>
      <c r="H24" s="18" t="s">
        <v>855</v>
      </c>
      <c r="I24" s="18"/>
      <c r="J24" s="25"/>
    </row>
    <row r="25" customFormat="false" ht="23.25" hidden="false" customHeight="true" outlineLevel="0" collapsed="false">
      <c r="A25" s="18" t="n">
        <v>251</v>
      </c>
      <c r="B25" s="18" t="s">
        <v>774</v>
      </c>
      <c r="C25" s="18" t="s">
        <v>856</v>
      </c>
      <c r="D25" s="20" t="s">
        <v>999</v>
      </c>
      <c r="E25" s="18"/>
      <c r="F25" s="18" t="s">
        <v>1000</v>
      </c>
      <c r="G25" s="18" t="s">
        <v>857</v>
      </c>
      <c r="H25" s="18" t="s">
        <v>858</v>
      </c>
      <c r="I25" s="18"/>
      <c r="J25" s="25"/>
    </row>
    <row r="26" customFormat="false" ht="23.25" hidden="false" customHeight="true" outlineLevel="0" collapsed="false">
      <c r="A26" s="18" t="n">
        <v>253</v>
      </c>
      <c r="B26" s="18" t="s">
        <v>774</v>
      </c>
      <c r="C26" s="18" t="s">
        <v>861</v>
      </c>
      <c r="D26" s="20" t="s">
        <v>1001</v>
      </c>
      <c r="E26" s="18" t="s">
        <v>1002</v>
      </c>
      <c r="F26" s="18" t="s">
        <v>1003</v>
      </c>
      <c r="G26" s="18" t="s">
        <v>862</v>
      </c>
      <c r="H26" s="18" t="s">
        <v>257</v>
      </c>
      <c r="I26" s="18"/>
      <c r="J26" s="25"/>
    </row>
    <row r="27" customFormat="false" ht="34.5" hidden="false" customHeight="true" outlineLevel="0" collapsed="false">
      <c r="A27" s="18" t="n">
        <v>254</v>
      </c>
      <c r="B27" s="18" t="s">
        <v>774</v>
      </c>
      <c r="C27" s="18" t="s">
        <v>863</v>
      </c>
      <c r="D27" s="20" t="s">
        <v>1004</v>
      </c>
      <c r="E27" s="18"/>
      <c r="F27" s="18" t="s">
        <v>1003</v>
      </c>
      <c r="G27" s="18" t="s">
        <v>864</v>
      </c>
      <c r="H27" s="18" t="s">
        <v>693</v>
      </c>
      <c r="I27" s="18"/>
      <c r="J27" s="25"/>
    </row>
    <row r="28" customFormat="false" ht="34.5" hidden="false" customHeight="true" outlineLevel="0" collapsed="false">
      <c r="A28" s="18" t="n">
        <v>255</v>
      </c>
      <c r="B28" s="18" t="s">
        <v>774</v>
      </c>
      <c r="C28" s="18" t="s">
        <v>866</v>
      </c>
      <c r="D28" s="20" t="s">
        <v>1005</v>
      </c>
      <c r="E28" s="18" t="s">
        <v>1006</v>
      </c>
      <c r="F28" s="18" t="s">
        <v>1007</v>
      </c>
      <c r="G28" s="18" t="s">
        <v>867</v>
      </c>
      <c r="H28" s="18" t="s">
        <v>289</v>
      </c>
      <c r="I28" s="18" t="s">
        <v>1008</v>
      </c>
      <c r="J28" s="25"/>
    </row>
    <row r="29" customFormat="false" ht="34.5" hidden="false" customHeight="true" outlineLevel="0" collapsed="false">
      <c r="A29" s="18" t="n">
        <v>256</v>
      </c>
      <c r="B29" s="18" t="s">
        <v>774</v>
      </c>
      <c r="C29" s="18" t="s">
        <v>869</v>
      </c>
      <c r="D29" s="20" t="s">
        <v>1009</v>
      </c>
      <c r="E29" s="18"/>
      <c r="F29" s="18" t="s">
        <v>1010</v>
      </c>
      <c r="G29" s="18" t="s">
        <v>870</v>
      </c>
      <c r="H29" s="18" t="s">
        <v>321</v>
      </c>
      <c r="I29" s="18"/>
      <c r="J29" s="25"/>
    </row>
    <row r="30" customFormat="false" ht="34.5" hidden="false" customHeight="true" outlineLevel="0" collapsed="false">
      <c r="A30" s="18" t="n">
        <v>257</v>
      </c>
      <c r="B30" s="18" t="s">
        <v>774</v>
      </c>
      <c r="C30" s="18" t="s">
        <v>871</v>
      </c>
      <c r="D30" s="20" t="s">
        <v>1011</v>
      </c>
      <c r="E30" s="18"/>
      <c r="F30" s="18" t="s">
        <v>1012</v>
      </c>
      <c r="G30" s="18" t="s">
        <v>872</v>
      </c>
      <c r="H30" s="18" t="s">
        <v>326</v>
      </c>
      <c r="I30" s="18"/>
      <c r="J30" s="25"/>
    </row>
    <row r="31" customFormat="false" ht="34.5" hidden="false" customHeight="true" outlineLevel="0" collapsed="false">
      <c r="A31" s="18" t="n">
        <v>258</v>
      </c>
      <c r="B31" s="18" t="s">
        <v>774</v>
      </c>
      <c r="C31" s="18" t="s">
        <v>874</v>
      </c>
      <c r="D31" s="20" t="s">
        <v>1013</v>
      </c>
      <c r="E31" s="18" t="s">
        <v>1014</v>
      </c>
      <c r="F31" s="18" t="s">
        <v>1015</v>
      </c>
      <c r="G31" s="18" t="s">
        <v>875</v>
      </c>
      <c r="H31" s="18" t="s">
        <v>377</v>
      </c>
      <c r="I31" s="18" t="s">
        <v>1016</v>
      </c>
      <c r="J31" s="25"/>
    </row>
    <row r="32" customFormat="false" ht="34.5" hidden="false" customHeight="true" outlineLevel="0" collapsed="false">
      <c r="A32" s="18" t="n">
        <v>259</v>
      </c>
      <c r="B32" s="18" t="s">
        <v>774</v>
      </c>
      <c r="C32" s="18" t="s">
        <v>876</v>
      </c>
      <c r="D32" s="20" t="s">
        <v>1017</v>
      </c>
      <c r="E32" s="18"/>
      <c r="F32" s="18" t="s">
        <v>1018</v>
      </c>
      <c r="G32" s="18" t="s">
        <v>877</v>
      </c>
      <c r="H32" s="18" t="s">
        <v>758</v>
      </c>
      <c r="I32" s="18"/>
      <c r="J32" s="25"/>
    </row>
    <row r="33" customFormat="false" ht="34.5" hidden="false" customHeight="true" outlineLevel="0" collapsed="false">
      <c r="A33" s="18" t="n">
        <v>260</v>
      </c>
      <c r="B33" s="18" t="s">
        <v>774</v>
      </c>
      <c r="C33" s="18" t="s">
        <v>879</v>
      </c>
      <c r="D33" s="20" t="s">
        <v>1019</v>
      </c>
      <c r="E33" s="18" t="s">
        <v>1020</v>
      </c>
      <c r="F33" s="18"/>
      <c r="G33" s="18" t="s">
        <v>880</v>
      </c>
      <c r="H33" s="18" t="s">
        <v>388</v>
      </c>
      <c r="I33" s="18" t="s">
        <v>1021</v>
      </c>
      <c r="J33" s="25"/>
    </row>
    <row r="34" customFormat="false" ht="34.5" hidden="false" customHeight="true" outlineLevel="0" collapsed="false">
      <c r="A34" s="18" t="n">
        <v>261</v>
      </c>
      <c r="B34" s="18" t="s">
        <v>774</v>
      </c>
      <c r="C34" s="18" t="s">
        <v>881</v>
      </c>
      <c r="D34" s="20" t="s">
        <v>1022</v>
      </c>
      <c r="E34" s="18"/>
      <c r="F34" s="18" t="s">
        <v>1023</v>
      </c>
      <c r="G34" s="18" t="s">
        <v>882</v>
      </c>
      <c r="H34" s="18" t="s">
        <v>767</v>
      </c>
      <c r="I34" s="18"/>
      <c r="J34" s="25"/>
    </row>
    <row r="35" customFormat="false" ht="34.5" hidden="false" customHeight="true" outlineLevel="0" collapsed="false">
      <c r="A35" s="18" t="n">
        <v>262</v>
      </c>
      <c r="B35" s="18" t="s">
        <v>774</v>
      </c>
      <c r="C35" s="18" t="s">
        <v>883</v>
      </c>
      <c r="D35" s="20" t="s">
        <v>1024</v>
      </c>
      <c r="E35" s="18"/>
      <c r="F35" s="18" t="s">
        <v>1025</v>
      </c>
      <c r="G35" s="18" t="s">
        <v>884</v>
      </c>
      <c r="H35" s="18" t="s">
        <v>770</v>
      </c>
      <c r="I35" s="18"/>
      <c r="J35" s="25"/>
    </row>
    <row r="36" customFormat="false" ht="34.5" hidden="false" customHeight="true" outlineLevel="0" collapsed="false">
      <c r="A36" s="18" t="n">
        <v>265</v>
      </c>
      <c r="B36" s="18" t="s">
        <v>774</v>
      </c>
      <c r="C36" s="18" t="s">
        <v>893</v>
      </c>
      <c r="D36" s="20" t="s">
        <v>1026</v>
      </c>
      <c r="E36" s="18" t="s">
        <v>1027</v>
      </c>
      <c r="F36" s="18"/>
      <c r="G36" s="18" t="s">
        <v>894</v>
      </c>
      <c r="H36" s="18" t="s">
        <v>895</v>
      </c>
      <c r="I36" s="18"/>
      <c r="J36" s="25"/>
    </row>
    <row r="37" customFormat="false" ht="34.5" hidden="false" customHeight="true" outlineLevel="0" collapsed="false">
      <c r="A37" s="18" t="n">
        <v>266</v>
      </c>
      <c r="B37" s="18" t="s">
        <v>774</v>
      </c>
      <c r="C37" s="18" t="s">
        <v>896</v>
      </c>
      <c r="D37" s="20" t="s">
        <v>1028</v>
      </c>
      <c r="E37" s="18" t="s">
        <v>1029</v>
      </c>
      <c r="F37" s="18"/>
      <c r="G37" s="18" t="s">
        <v>897</v>
      </c>
      <c r="H37" s="18" t="s">
        <v>898</v>
      </c>
      <c r="I37" s="18"/>
      <c r="J37" s="25"/>
    </row>
    <row r="38" customFormat="false" ht="34.5" hidden="false" customHeight="true" outlineLevel="0" collapsed="false">
      <c r="A38" s="18" t="n">
        <v>267</v>
      </c>
      <c r="B38" s="18" t="s">
        <v>774</v>
      </c>
      <c r="C38" s="18" t="s">
        <v>899</v>
      </c>
      <c r="D38" s="20" t="s">
        <v>1030</v>
      </c>
      <c r="E38" s="18"/>
      <c r="F38" s="18"/>
      <c r="G38" s="18" t="s">
        <v>900</v>
      </c>
      <c r="H38" s="18" t="s">
        <v>901</v>
      </c>
      <c r="I38" s="18"/>
      <c r="J38" s="25"/>
    </row>
    <row r="39" customFormat="false" ht="34.5" hidden="false" customHeight="true" outlineLevel="0" collapsed="false">
      <c r="A39" s="18" t="n">
        <v>268</v>
      </c>
      <c r="B39" s="18" t="s">
        <v>774</v>
      </c>
      <c r="C39" s="18" t="s">
        <v>902</v>
      </c>
      <c r="D39" s="20" t="s">
        <v>1031</v>
      </c>
      <c r="E39" s="18"/>
      <c r="F39" s="18"/>
      <c r="G39" s="18" t="s">
        <v>897</v>
      </c>
      <c r="H39" s="18" t="s">
        <v>898</v>
      </c>
      <c r="I39" s="18" t="s">
        <v>1032</v>
      </c>
      <c r="J39" s="25"/>
    </row>
    <row r="40" customFormat="false" ht="34.5" hidden="false" customHeight="true" outlineLevel="0" collapsed="false">
      <c r="A40" s="18" t="n">
        <v>269</v>
      </c>
      <c r="B40" s="18" t="s">
        <v>774</v>
      </c>
      <c r="C40" s="18" t="s">
        <v>903</v>
      </c>
      <c r="D40" s="20" t="s">
        <v>1033</v>
      </c>
      <c r="E40" s="18" t="s">
        <v>1034</v>
      </c>
      <c r="F40" s="18"/>
      <c r="G40" s="18" t="s">
        <v>904</v>
      </c>
      <c r="H40" s="18" t="s">
        <v>404</v>
      </c>
      <c r="I40" s="18"/>
      <c r="J40" s="25"/>
    </row>
    <row r="41" customFormat="false" ht="34.5" hidden="false" customHeight="true" outlineLevel="0" collapsed="false">
      <c r="A41" s="18" t="n">
        <v>270</v>
      </c>
      <c r="B41" s="18" t="s">
        <v>774</v>
      </c>
      <c r="C41" s="18" t="s">
        <v>905</v>
      </c>
      <c r="D41" s="20" t="s">
        <v>1035</v>
      </c>
      <c r="E41" s="18"/>
      <c r="F41" s="18" t="s">
        <v>1036</v>
      </c>
      <c r="G41" s="18" t="s">
        <v>906</v>
      </c>
      <c r="H41" s="18" t="s">
        <v>907</v>
      </c>
      <c r="I41" s="18"/>
      <c r="J41" s="25"/>
    </row>
    <row r="43" customFormat="false" ht="15" hidden="false" customHeight="true" outlineLevel="0" collapsed="false">
      <c r="A43" s="26" t="s">
        <v>1037</v>
      </c>
      <c r="B43" s="26"/>
      <c r="C43" s="26"/>
      <c r="D43" s="26"/>
      <c r="E43" s="26"/>
      <c r="F43" s="26"/>
      <c r="G43" s="26"/>
      <c r="H43" s="26"/>
      <c r="I43" s="26"/>
    </row>
  </sheetData>
  <autoFilter ref="A1:J41"/>
  <mergeCells count="1">
    <mergeCell ref="A43:I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3" min="3" style="1" width="30"/>
    <col collapsed="false" customWidth="true" hidden="false" outlineLevel="0" max="4" min="4" style="1" width="26"/>
    <col collapsed="false" customWidth="true" hidden="false" outlineLevel="0" max="5" min="5" style="1" width="28"/>
    <col collapsed="false" customWidth="true" hidden="false" outlineLevel="0" max="6" min="6" style="1" width="14"/>
    <col collapsed="false" customWidth="true" hidden="false" outlineLevel="0" max="7" min="7" style="1" width="20"/>
    <col collapsed="false" customWidth="true" hidden="false" outlineLevel="0" max="8" min="8" style="1" width="32"/>
    <col collapsed="false" customWidth="true" hidden="false" outlineLevel="0" max="9" min="9" style="1" width="42"/>
    <col collapsed="false" customWidth="true" hidden="false" outlineLevel="0" max="11" min="10" style="1" width="36"/>
  </cols>
  <sheetData>
    <row r="1" customFormat="false" ht="39" hidden="false" customHeight="true" outlineLevel="0" collapsed="false">
      <c r="A1" s="17" t="s">
        <v>42</v>
      </c>
      <c r="B1" s="17" t="s">
        <v>1038</v>
      </c>
      <c r="C1" s="17" t="s">
        <v>1039</v>
      </c>
      <c r="D1" s="17" t="s">
        <v>43</v>
      </c>
      <c r="E1" s="17" t="s">
        <v>45</v>
      </c>
      <c r="F1" s="17" t="s">
        <v>1040</v>
      </c>
      <c r="G1" s="17" t="s">
        <v>1041</v>
      </c>
      <c r="H1" s="17" t="s">
        <v>1042</v>
      </c>
      <c r="I1" s="17" t="s">
        <v>32</v>
      </c>
      <c r="J1" s="17" t="s">
        <v>1043</v>
      </c>
      <c r="K1" s="17" t="s">
        <v>1044</v>
      </c>
      <c r="L1" s="17" t="s">
        <v>1045</v>
      </c>
      <c r="M1" s="17" t="s">
        <v>1046</v>
      </c>
    </row>
    <row r="2" customFormat="false" ht="23.25" hidden="false" customHeight="true" outlineLevel="0" collapsed="false">
      <c r="A2" s="18" t="n">
        <v>2</v>
      </c>
      <c r="B2" s="18" t="s">
        <v>112</v>
      </c>
      <c r="C2" s="18" t="s">
        <v>1047</v>
      </c>
      <c r="D2" s="18" t="s">
        <v>52</v>
      </c>
      <c r="E2" s="18" t="s">
        <v>56</v>
      </c>
      <c r="F2" s="18" t="s">
        <v>1048</v>
      </c>
      <c r="G2" s="18" t="s">
        <v>1049</v>
      </c>
      <c r="H2" s="23" t="s">
        <v>1050</v>
      </c>
      <c r="I2" s="24" t="s">
        <v>36</v>
      </c>
      <c r="J2" s="18" t="s">
        <v>1051</v>
      </c>
      <c r="K2" s="18" t="s">
        <v>1052</v>
      </c>
      <c r="L2" s="18" t="s">
        <v>1053</v>
      </c>
      <c r="M2" s="18" t="s">
        <v>1054</v>
      </c>
    </row>
    <row r="3" customFormat="false" ht="23.25" hidden="false" customHeight="true" outlineLevel="0" collapsed="false">
      <c r="A3" s="18" t="n">
        <v>3</v>
      </c>
      <c r="B3" s="18" t="s">
        <v>118</v>
      </c>
      <c r="C3" s="18" t="s">
        <v>1047</v>
      </c>
      <c r="D3" s="18" t="s">
        <v>52</v>
      </c>
      <c r="E3" s="18" t="s">
        <v>60</v>
      </c>
      <c r="F3" s="18" t="s">
        <v>1055</v>
      </c>
      <c r="G3" s="18" t="s">
        <v>1056</v>
      </c>
      <c r="H3" s="27" t="s">
        <v>1057</v>
      </c>
      <c r="I3" s="23" t="s">
        <v>38</v>
      </c>
      <c r="J3" s="18" t="s">
        <v>1058</v>
      </c>
      <c r="K3" s="18" t="s">
        <v>1059</v>
      </c>
      <c r="L3" s="18" t="s">
        <v>1060</v>
      </c>
      <c r="M3" s="18" t="s">
        <v>1061</v>
      </c>
    </row>
    <row r="4" customFormat="false" ht="15" hidden="false" customHeight="true" outlineLevel="0" collapsed="false">
      <c r="A4" s="18" t="n">
        <v>4</v>
      </c>
      <c r="B4" s="18" t="s">
        <v>124</v>
      </c>
      <c r="C4" s="18" t="s">
        <v>1047</v>
      </c>
      <c r="D4" s="18" t="s">
        <v>52</v>
      </c>
      <c r="E4" s="18" t="s">
        <v>65</v>
      </c>
      <c r="F4" s="18" t="s">
        <v>1062</v>
      </c>
      <c r="G4" s="18" t="s">
        <v>1063</v>
      </c>
      <c r="H4" s="20" t="s">
        <v>1064</v>
      </c>
      <c r="I4" s="20" t="s">
        <v>34</v>
      </c>
      <c r="J4" s="18" t="s">
        <v>1065</v>
      </c>
      <c r="K4" s="18" t="s">
        <v>1066</v>
      </c>
      <c r="L4" s="18" t="s">
        <v>1067</v>
      </c>
      <c r="M4" s="18"/>
    </row>
    <row r="5" customFormat="false" ht="15" hidden="false" customHeight="true" outlineLevel="0" collapsed="false">
      <c r="A5" s="18" t="n">
        <v>5</v>
      </c>
      <c r="B5" s="18" t="s">
        <v>129</v>
      </c>
      <c r="C5" s="18" t="s">
        <v>1068</v>
      </c>
      <c r="D5" s="18" t="s">
        <v>52</v>
      </c>
      <c r="E5" s="18" t="s">
        <v>69</v>
      </c>
      <c r="F5" s="18" t="s">
        <v>1069</v>
      </c>
      <c r="G5" s="18" t="s">
        <v>1065</v>
      </c>
      <c r="H5" s="20" t="s">
        <v>1064</v>
      </c>
      <c r="I5" s="20" t="s">
        <v>34</v>
      </c>
      <c r="J5" s="18" t="s">
        <v>1065</v>
      </c>
      <c r="K5" s="18" t="s">
        <v>1070</v>
      </c>
      <c r="L5" s="18" t="s">
        <v>1071</v>
      </c>
      <c r="M5" s="18"/>
    </row>
    <row r="6" customFormat="false" ht="23.25" hidden="false" customHeight="true" outlineLevel="0" collapsed="false">
      <c r="A6" s="18" t="n">
        <v>6</v>
      </c>
      <c r="B6" s="18" t="s">
        <v>135</v>
      </c>
      <c r="C6" s="18" t="s">
        <v>1068</v>
      </c>
      <c r="D6" s="18" t="s">
        <v>52</v>
      </c>
      <c r="E6" s="18" t="s">
        <v>71</v>
      </c>
      <c r="F6" s="18" t="s">
        <v>1072</v>
      </c>
      <c r="G6" s="18" t="s">
        <v>1073</v>
      </c>
      <c r="H6" s="20" t="s">
        <v>1064</v>
      </c>
      <c r="I6" s="24" t="s">
        <v>36</v>
      </c>
      <c r="J6" s="18" t="s">
        <v>1074</v>
      </c>
      <c r="K6" s="18" t="s">
        <v>1075</v>
      </c>
      <c r="L6" s="18" t="s">
        <v>1071</v>
      </c>
      <c r="M6" s="18"/>
    </row>
    <row r="7" customFormat="false" ht="15" hidden="false" customHeight="true" outlineLevel="0" collapsed="false">
      <c r="A7" s="18" t="n">
        <v>7</v>
      </c>
      <c r="B7" s="18" t="s">
        <v>543</v>
      </c>
      <c r="C7" s="18" t="s">
        <v>1068</v>
      </c>
      <c r="D7" s="18" t="s">
        <v>52</v>
      </c>
      <c r="E7" s="18" t="s">
        <v>74</v>
      </c>
      <c r="F7" s="18" t="s">
        <v>1076</v>
      </c>
      <c r="G7" s="18" t="s">
        <v>1065</v>
      </c>
      <c r="H7" s="20" t="s">
        <v>1064</v>
      </c>
      <c r="I7" s="20" t="s">
        <v>34</v>
      </c>
      <c r="J7" s="18" t="s">
        <v>1065</v>
      </c>
      <c r="K7" s="18" t="s">
        <v>1077</v>
      </c>
      <c r="L7" s="18" t="s">
        <v>1071</v>
      </c>
      <c r="M7" s="18"/>
    </row>
    <row r="8" customFormat="false" ht="34.5" hidden="false" customHeight="true" outlineLevel="0" collapsed="false">
      <c r="A8" s="18" t="n">
        <v>8</v>
      </c>
      <c r="B8" s="18" t="s">
        <v>546</v>
      </c>
      <c r="C8" s="18" t="s">
        <v>1068</v>
      </c>
      <c r="D8" s="18" t="s">
        <v>52</v>
      </c>
      <c r="E8" s="18" t="s">
        <v>77</v>
      </c>
      <c r="F8" s="18" t="s">
        <v>1078</v>
      </c>
      <c r="G8" s="18" t="s">
        <v>1079</v>
      </c>
      <c r="H8" s="23" t="s">
        <v>1050</v>
      </c>
      <c r="I8" s="20" t="s">
        <v>34</v>
      </c>
      <c r="J8" s="18" t="s">
        <v>1051</v>
      </c>
      <c r="K8" s="18" t="s">
        <v>1080</v>
      </c>
      <c r="L8" s="18" t="s">
        <v>1081</v>
      </c>
      <c r="M8" s="18" t="s">
        <v>1082</v>
      </c>
    </row>
    <row r="9" customFormat="false" ht="34.5" hidden="false" customHeight="true" outlineLevel="0" collapsed="false">
      <c r="A9" s="18" t="n">
        <v>9</v>
      </c>
      <c r="B9" s="18" t="s">
        <v>549</v>
      </c>
      <c r="C9" s="18" t="s">
        <v>1083</v>
      </c>
      <c r="D9" s="18" t="s">
        <v>52</v>
      </c>
      <c r="E9" s="18" t="s">
        <v>82</v>
      </c>
      <c r="F9" s="18" t="s">
        <v>1084</v>
      </c>
      <c r="G9" s="18" t="s">
        <v>1073</v>
      </c>
      <c r="H9" s="23" t="s">
        <v>1050</v>
      </c>
      <c r="I9" s="24" t="s">
        <v>36</v>
      </c>
      <c r="J9" s="18" t="s">
        <v>1085</v>
      </c>
      <c r="K9" s="18" t="s">
        <v>1086</v>
      </c>
      <c r="L9" s="18" t="s">
        <v>1087</v>
      </c>
      <c r="M9" s="18" t="s">
        <v>1088</v>
      </c>
    </row>
    <row r="10" customFormat="false" ht="23.25" hidden="false" customHeight="true" outlineLevel="0" collapsed="false">
      <c r="A10" s="18" t="n">
        <v>10</v>
      </c>
      <c r="B10" s="18" t="s">
        <v>552</v>
      </c>
      <c r="C10" s="18" t="s">
        <v>1089</v>
      </c>
      <c r="D10" s="18" t="s">
        <v>52</v>
      </c>
      <c r="E10" s="18" t="s">
        <v>85</v>
      </c>
      <c r="F10" s="18" t="s">
        <v>1090</v>
      </c>
      <c r="G10" s="18" t="s">
        <v>1091</v>
      </c>
      <c r="H10" s="22" t="s">
        <v>1092</v>
      </c>
      <c r="I10" s="23" t="s">
        <v>38</v>
      </c>
      <c r="J10" s="18" t="s">
        <v>1093</v>
      </c>
      <c r="K10" s="18" t="s">
        <v>1094</v>
      </c>
      <c r="L10" s="18" t="s">
        <v>1095</v>
      </c>
      <c r="M10" s="18" t="s">
        <v>1096</v>
      </c>
    </row>
    <row r="11" customFormat="false" ht="34.5" hidden="false" customHeight="true" outlineLevel="0" collapsed="false">
      <c r="A11" s="18" t="n">
        <v>11</v>
      </c>
      <c r="B11" s="18" t="s">
        <v>555</v>
      </c>
      <c r="C11" s="18" t="s">
        <v>1097</v>
      </c>
      <c r="D11" s="18" t="s">
        <v>52</v>
      </c>
      <c r="E11" s="18" t="s">
        <v>89</v>
      </c>
      <c r="F11" s="18" t="s">
        <v>1098</v>
      </c>
      <c r="G11" s="18" t="s">
        <v>1073</v>
      </c>
      <c r="H11" s="23" t="s">
        <v>1050</v>
      </c>
      <c r="I11" s="24" t="s">
        <v>36</v>
      </c>
      <c r="J11" s="18" t="s">
        <v>1099</v>
      </c>
      <c r="K11" s="18" t="s">
        <v>1100</v>
      </c>
      <c r="L11" s="18" t="s">
        <v>1101</v>
      </c>
      <c r="M11" s="18" t="s">
        <v>1102</v>
      </c>
    </row>
    <row r="12" customFormat="false" ht="23.25" hidden="false" customHeight="true" outlineLevel="0" collapsed="false">
      <c r="A12" s="18" t="n">
        <v>12</v>
      </c>
      <c r="B12" s="18" t="s">
        <v>558</v>
      </c>
      <c r="C12" s="18" t="s">
        <v>1103</v>
      </c>
      <c r="D12" s="18" t="s">
        <v>52</v>
      </c>
      <c r="E12" s="18" t="s">
        <v>93</v>
      </c>
      <c r="F12" s="18" t="s">
        <v>1104</v>
      </c>
      <c r="G12" s="18" t="s">
        <v>1105</v>
      </c>
      <c r="H12" s="23" t="s">
        <v>1050</v>
      </c>
      <c r="I12" s="24" t="s">
        <v>36</v>
      </c>
      <c r="J12" s="18" t="s">
        <v>1106</v>
      </c>
      <c r="K12" s="18" t="s">
        <v>1107</v>
      </c>
      <c r="L12" s="18" t="s">
        <v>1108</v>
      </c>
      <c r="M12" s="18" t="s">
        <v>1109</v>
      </c>
    </row>
    <row r="13" customFormat="false" ht="15" hidden="false" customHeight="true" outlineLevel="0" collapsed="false">
      <c r="A13" s="18" t="n">
        <v>13</v>
      </c>
      <c r="B13" s="18" t="s">
        <v>561</v>
      </c>
      <c r="C13" s="18" t="s">
        <v>1068</v>
      </c>
      <c r="D13" s="18" t="s">
        <v>52</v>
      </c>
      <c r="E13" s="18" t="s">
        <v>97</v>
      </c>
      <c r="F13" s="18" t="s">
        <v>1110</v>
      </c>
      <c r="G13" s="18" t="s">
        <v>1065</v>
      </c>
      <c r="H13" s="20" t="s">
        <v>1064</v>
      </c>
      <c r="I13" s="20" t="s">
        <v>34</v>
      </c>
      <c r="J13" s="18" t="s">
        <v>1111</v>
      </c>
      <c r="K13" s="18" t="s">
        <v>1112</v>
      </c>
      <c r="L13" s="18" t="s">
        <v>1071</v>
      </c>
      <c r="M13" s="18"/>
    </row>
    <row r="14" customFormat="false" ht="34.5" hidden="false" customHeight="true" outlineLevel="0" collapsed="false">
      <c r="A14" s="18" t="n">
        <v>15</v>
      </c>
      <c r="B14" s="18" t="s">
        <v>146</v>
      </c>
      <c r="C14" s="18" t="s">
        <v>1113</v>
      </c>
      <c r="D14" s="18" t="s">
        <v>101</v>
      </c>
      <c r="E14" s="18" t="s">
        <v>104</v>
      </c>
      <c r="F14" s="18" t="s">
        <v>1114</v>
      </c>
      <c r="G14" s="18" t="s">
        <v>1115</v>
      </c>
      <c r="H14" s="20" t="s">
        <v>1064</v>
      </c>
      <c r="I14" s="20" t="s">
        <v>34</v>
      </c>
      <c r="J14" s="18" t="s">
        <v>1116</v>
      </c>
      <c r="K14" s="18" t="s">
        <v>1117</v>
      </c>
      <c r="L14" s="18" t="s">
        <v>1118</v>
      </c>
      <c r="M14" s="18"/>
    </row>
    <row r="15" customFormat="false" ht="34.5" hidden="false" customHeight="true" outlineLevel="0" collapsed="false">
      <c r="A15" s="18" t="n">
        <v>16</v>
      </c>
      <c r="B15" s="18" t="s">
        <v>578</v>
      </c>
      <c r="C15" s="18" t="s">
        <v>1113</v>
      </c>
      <c r="D15" s="18" t="s">
        <v>101</v>
      </c>
      <c r="E15" s="18" t="s">
        <v>109</v>
      </c>
      <c r="F15" s="18" t="s">
        <v>1119</v>
      </c>
      <c r="G15" s="18" t="s">
        <v>1120</v>
      </c>
      <c r="H15" s="27" t="s">
        <v>1057</v>
      </c>
      <c r="I15" s="23" t="s">
        <v>38</v>
      </c>
      <c r="J15" s="18" t="s">
        <v>1121</v>
      </c>
      <c r="K15" s="18" t="s">
        <v>1122</v>
      </c>
      <c r="L15" s="18" t="s">
        <v>1123</v>
      </c>
      <c r="M15" s="18" t="s">
        <v>1124</v>
      </c>
    </row>
    <row r="16" customFormat="false" ht="34.5" hidden="false" customHeight="true" outlineLevel="0" collapsed="false">
      <c r="A16" s="18" t="n">
        <v>17</v>
      </c>
      <c r="B16" s="18" t="s">
        <v>581</v>
      </c>
      <c r="C16" s="18" t="s">
        <v>1113</v>
      </c>
      <c r="D16" s="18" t="s">
        <v>101</v>
      </c>
      <c r="E16" s="18" t="s">
        <v>115</v>
      </c>
      <c r="F16" s="18" t="s">
        <v>1125</v>
      </c>
      <c r="G16" s="18" t="s">
        <v>1126</v>
      </c>
      <c r="H16" s="27" t="s">
        <v>1057</v>
      </c>
      <c r="I16" s="23" t="s">
        <v>38</v>
      </c>
      <c r="J16" s="18" t="s">
        <v>1127</v>
      </c>
      <c r="K16" s="18" t="s">
        <v>1128</v>
      </c>
      <c r="L16" s="18" t="s">
        <v>1129</v>
      </c>
      <c r="M16" s="18" t="s">
        <v>1130</v>
      </c>
    </row>
    <row r="17" customFormat="false" ht="23.25" hidden="false" customHeight="true" outlineLevel="0" collapsed="false">
      <c r="A17" s="18" t="n">
        <v>18</v>
      </c>
      <c r="B17" s="18" t="s">
        <v>584</v>
      </c>
      <c r="C17" s="18" t="s">
        <v>1113</v>
      </c>
      <c r="D17" s="18" t="s">
        <v>101</v>
      </c>
      <c r="E17" s="18" t="s">
        <v>121</v>
      </c>
      <c r="F17" s="18" t="s">
        <v>1125</v>
      </c>
      <c r="G17" s="18" t="s">
        <v>1131</v>
      </c>
      <c r="H17" s="23" t="s">
        <v>1050</v>
      </c>
      <c r="I17" s="23" t="s">
        <v>38</v>
      </c>
      <c r="J17" s="18" t="s">
        <v>1132</v>
      </c>
      <c r="K17" s="18" t="s">
        <v>1133</v>
      </c>
      <c r="L17" s="18" t="s">
        <v>1134</v>
      </c>
      <c r="M17" s="18" t="s">
        <v>1135</v>
      </c>
    </row>
    <row r="18" customFormat="false" ht="45.75" hidden="false" customHeight="true" outlineLevel="0" collapsed="false">
      <c r="A18" s="18" t="n">
        <v>19</v>
      </c>
      <c r="B18" s="18" t="s">
        <v>587</v>
      </c>
      <c r="C18" s="18" t="s">
        <v>1113</v>
      </c>
      <c r="D18" s="18" t="s">
        <v>101</v>
      </c>
      <c r="E18" s="18" t="s">
        <v>126</v>
      </c>
      <c r="F18" s="18" t="s">
        <v>1125</v>
      </c>
      <c r="G18" s="18" t="s">
        <v>1136</v>
      </c>
      <c r="H18" s="23" t="s">
        <v>1050</v>
      </c>
      <c r="I18" s="23" t="s">
        <v>38</v>
      </c>
      <c r="J18" s="18" t="s">
        <v>1137</v>
      </c>
      <c r="K18" s="18" t="s">
        <v>1138</v>
      </c>
      <c r="L18" s="18" t="s">
        <v>1139</v>
      </c>
      <c r="M18" s="18" t="s">
        <v>1140</v>
      </c>
    </row>
    <row r="19" customFormat="false" ht="23.25" hidden="false" customHeight="true" outlineLevel="0" collapsed="false">
      <c r="A19" s="18" t="n">
        <v>20</v>
      </c>
      <c r="B19" s="18" t="s">
        <v>590</v>
      </c>
      <c r="C19" s="18" t="s">
        <v>1141</v>
      </c>
      <c r="D19" s="18" t="s">
        <v>101</v>
      </c>
      <c r="E19" s="18" t="s">
        <v>132</v>
      </c>
      <c r="F19" s="18" t="s">
        <v>1125</v>
      </c>
      <c r="G19" s="18" t="s">
        <v>1142</v>
      </c>
      <c r="H19" s="23" t="s">
        <v>1050</v>
      </c>
      <c r="I19" s="23" t="s">
        <v>38</v>
      </c>
      <c r="J19" s="18" t="s">
        <v>1143</v>
      </c>
      <c r="K19" s="18" t="s">
        <v>1144</v>
      </c>
      <c r="L19" s="18" t="s">
        <v>1145</v>
      </c>
      <c r="M19" s="18" t="s">
        <v>1146</v>
      </c>
    </row>
    <row r="20" customFormat="false" ht="23.25" hidden="false" customHeight="true" outlineLevel="0" collapsed="false">
      <c r="A20" s="18" t="n">
        <v>21</v>
      </c>
      <c r="B20" s="18" t="s">
        <v>606</v>
      </c>
      <c r="C20" s="18" t="s">
        <v>1147</v>
      </c>
      <c r="D20" s="18" t="s">
        <v>136</v>
      </c>
      <c r="E20" s="18" t="s">
        <v>138</v>
      </c>
      <c r="F20" s="18" t="s">
        <v>1125</v>
      </c>
      <c r="G20" s="18" t="s">
        <v>1148</v>
      </c>
      <c r="H20" s="27" t="s">
        <v>1057</v>
      </c>
      <c r="I20" s="23" t="s">
        <v>38</v>
      </c>
      <c r="J20" s="18" t="s">
        <v>1149</v>
      </c>
      <c r="K20" s="18" t="s">
        <v>1150</v>
      </c>
      <c r="L20" s="18" t="s">
        <v>1151</v>
      </c>
      <c r="M20" s="18" t="s">
        <v>1152</v>
      </c>
    </row>
    <row r="21" customFormat="false" ht="23.25" hidden="false" customHeight="true" outlineLevel="0" collapsed="false">
      <c r="A21" s="18" t="n">
        <v>22</v>
      </c>
      <c r="B21" s="18" t="s">
        <v>158</v>
      </c>
      <c r="C21" s="18" t="s">
        <v>1147</v>
      </c>
      <c r="D21" s="18" t="s">
        <v>136</v>
      </c>
      <c r="E21" s="18" t="s">
        <v>143</v>
      </c>
      <c r="F21" s="18" t="s">
        <v>1125</v>
      </c>
      <c r="G21" s="18" t="s">
        <v>1148</v>
      </c>
      <c r="H21" s="27" t="s">
        <v>1057</v>
      </c>
      <c r="I21" s="23" t="s">
        <v>38</v>
      </c>
      <c r="J21" s="18" t="s">
        <v>1153</v>
      </c>
      <c r="K21" s="18" t="s">
        <v>1154</v>
      </c>
      <c r="L21" s="18" t="s">
        <v>1151</v>
      </c>
      <c r="M21" s="18" t="s">
        <v>1155</v>
      </c>
    </row>
    <row r="22" customFormat="false" ht="45.75" hidden="false" customHeight="true" outlineLevel="0" collapsed="false">
      <c r="A22" s="18" t="n">
        <v>23</v>
      </c>
      <c r="B22" s="18" t="s">
        <v>164</v>
      </c>
      <c r="C22" s="18" t="s">
        <v>1156</v>
      </c>
      <c r="D22" s="18" t="s">
        <v>147</v>
      </c>
      <c r="E22" s="18" t="s">
        <v>149</v>
      </c>
      <c r="F22" s="18" t="s">
        <v>1125</v>
      </c>
      <c r="G22" s="18" t="s">
        <v>1148</v>
      </c>
      <c r="H22" s="23" t="s">
        <v>1050</v>
      </c>
      <c r="I22" s="24" t="s">
        <v>36</v>
      </c>
      <c r="J22" s="18" t="s">
        <v>1157</v>
      </c>
      <c r="K22" s="18" t="s">
        <v>1158</v>
      </c>
      <c r="L22" s="18" t="s">
        <v>1159</v>
      </c>
      <c r="M22" s="18" t="s">
        <v>1160</v>
      </c>
    </row>
    <row r="23" customFormat="false" ht="34.5" hidden="false" customHeight="true" outlineLevel="0" collapsed="false">
      <c r="A23" s="18" t="n">
        <v>24</v>
      </c>
      <c r="B23" s="18" t="s">
        <v>641</v>
      </c>
      <c r="C23" s="18" t="s">
        <v>1156</v>
      </c>
      <c r="D23" s="18" t="s">
        <v>147</v>
      </c>
      <c r="E23" s="18" t="s">
        <v>155</v>
      </c>
      <c r="F23" s="18" t="s">
        <v>1125</v>
      </c>
      <c r="G23" s="18" t="s">
        <v>1148</v>
      </c>
      <c r="H23" s="23" t="s">
        <v>1050</v>
      </c>
      <c r="I23" s="24" t="s">
        <v>36</v>
      </c>
      <c r="J23" s="18" t="s">
        <v>1161</v>
      </c>
      <c r="K23" s="18" t="s">
        <v>1162</v>
      </c>
      <c r="L23" s="18" t="s">
        <v>1163</v>
      </c>
      <c r="M23" s="18" t="s">
        <v>1164</v>
      </c>
    </row>
    <row r="24" customFormat="false" ht="45.75" hidden="false" customHeight="true" outlineLevel="0" collapsed="false">
      <c r="A24" s="18" t="n">
        <v>26</v>
      </c>
      <c r="B24" s="18" t="s">
        <v>677</v>
      </c>
      <c r="C24" s="18" t="s">
        <v>1165</v>
      </c>
      <c r="D24" s="18" t="s">
        <v>159</v>
      </c>
      <c r="E24" s="18" t="s">
        <v>161</v>
      </c>
      <c r="F24" s="18" t="s">
        <v>1166</v>
      </c>
      <c r="G24" s="18" t="s">
        <v>1167</v>
      </c>
      <c r="H24" s="23" t="s">
        <v>1050</v>
      </c>
      <c r="I24" s="24" t="s">
        <v>36</v>
      </c>
      <c r="J24" s="18" t="s">
        <v>1168</v>
      </c>
      <c r="K24" s="18" t="s">
        <v>1169</v>
      </c>
      <c r="L24" s="18" t="s">
        <v>1170</v>
      </c>
      <c r="M24" s="18" t="s">
        <v>1171</v>
      </c>
    </row>
    <row r="25" customFormat="false" ht="23.25" hidden="false" customHeight="true" outlineLevel="0" collapsed="false">
      <c r="A25" s="18" t="n">
        <v>27</v>
      </c>
      <c r="B25" s="18" t="s">
        <v>679</v>
      </c>
      <c r="C25" s="18" t="s">
        <v>1172</v>
      </c>
      <c r="D25" s="18" t="s">
        <v>159</v>
      </c>
      <c r="E25" s="18" t="s">
        <v>167</v>
      </c>
      <c r="F25" s="18" t="s">
        <v>1125</v>
      </c>
      <c r="G25" s="18" t="s">
        <v>1148</v>
      </c>
      <c r="H25" s="23" t="s">
        <v>1050</v>
      </c>
      <c r="I25" s="23" t="s">
        <v>38</v>
      </c>
      <c r="J25" s="18" t="s">
        <v>1173</v>
      </c>
      <c r="K25" s="18" t="s">
        <v>1174</v>
      </c>
      <c r="L25" s="18" t="s">
        <v>1175</v>
      </c>
      <c r="M25" s="18" t="s">
        <v>1176</v>
      </c>
    </row>
    <row r="26" customFormat="false" ht="45.75" hidden="false" customHeight="true" outlineLevel="0" collapsed="false">
      <c r="A26" s="18" t="n">
        <v>28</v>
      </c>
      <c r="B26" s="18" t="s">
        <v>681</v>
      </c>
      <c r="C26" s="18" t="s">
        <v>1165</v>
      </c>
      <c r="D26" s="18" t="s">
        <v>159</v>
      </c>
      <c r="E26" s="18" t="s">
        <v>172</v>
      </c>
      <c r="F26" s="18" t="s">
        <v>1125</v>
      </c>
      <c r="G26" s="18" t="s">
        <v>1148</v>
      </c>
      <c r="H26" s="27" t="s">
        <v>1057</v>
      </c>
      <c r="I26" s="23" t="s">
        <v>38</v>
      </c>
      <c r="J26" s="18" t="s">
        <v>1177</v>
      </c>
      <c r="K26" s="18" t="s">
        <v>1178</v>
      </c>
      <c r="L26" s="18" t="s">
        <v>1179</v>
      </c>
      <c r="M26" s="18" t="s">
        <v>1180</v>
      </c>
    </row>
    <row r="27" customFormat="false" ht="23.25" hidden="false" customHeight="true" outlineLevel="0" collapsed="false">
      <c r="A27" s="18" t="n">
        <v>29</v>
      </c>
      <c r="B27" s="18" t="s">
        <v>683</v>
      </c>
      <c r="C27" s="18" t="s">
        <v>1172</v>
      </c>
      <c r="D27" s="18" t="s">
        <v>159</v>
      </c>
      <c r="E27" s="18" t="s">
        <v>177</v>
      </c>
      <c r="F27" s="18" t="s">
        <v>1125</v>
      </c>
      <c r="G27" s="18" t="s">
        <v>1148</v>
      </c>
      <c r="H27" s="27" t="s">
        <v>1057</v>
      </c>
      <c r="I27" s="23" t="s">
        <v>38</v>
      </c>
      <c r="J27" s="18" t="s">
        <v>1181</v>
      </c>
      <c r="K27" s="18" t="s">
        <v>1182</v>
      </c>
      <c r="L27" s="18" t="s">
        <v>1183</v>
      </c>
      <c r="M27" s="18" t="s">
        <v>1184</v>
      </c>
    </row>
    <row r="28" customFormat="false" ht="23.25" hidden="false" customHeight="true" outlineLevel="0" collapsed="false">
      <c r="A28" s="18" t="n">
        <v>30</v>
      </c>
      <c r="B28" s="18" t="s">
        <v>685</v>
      </c>
      <c r="C28" s="18" t="s">
        <v>1185</v>
      </c>
      <c r="D28" s="18" t="s">
        <v>159</v>
      </c>
      <c r="E28" s="18" t="s">
        <v>182</v>
      </c>
      <c r="F28" s="18" t="s">
        <v>1125</v>
      </c>
      <c r="G28" s="18" t="s">
        <v>1148</v>
      </c>
      <c r="H28" s="23" t="s">
        <v>1050</v>
      </c>
      <c r="I28" s="20" t="s">
        <v>34</v>
      </c>
      <c r="J28" s="18" t="s">
        <v>1186</v>
      </c>
      <c r="K28" s="18" t="s">
        <v>1187</v>
      </c>
      <c r="L28" s="18" t="s">
        <v>1188</v>
      </c>
      <c r="M28" s="18" t="s">
        <v>1189</v>
      </c>
    </row>
    <row r="29" customFormat="false" ht="23.25" hidden="false" customHeight="true" outlineLevel="0" collapsed="false">
      <c r="A29" s="18" t="n">
        <v>31</v>
      </c>
      <c r="B29" s="18" t="s">
        <v>687</v>
      </c>
      <c r="C29" s="18" t="s">
        <v>1185</v>
      </c>
      <c r="D29" s="18" t="s">
        <v>159</v>
      </c>
      <c r="E29" s="18" t="s">
        <v>187</v>
      </c>
      <c r="F29" s="18" t="s">
        <v>1190</v>
      </c>
      <c r="G29" s="18" t="s">
        <v>1191</v>
      </c>
      <c r="H29" s="27" t="s">
        <v>1057</v>
      </c>
      <c r="I29" s="23" t="s">
        <v>38</v>
      </c>
      <c r="J29" s="18" t="s">
        <v>1192</v>
      </c>
      <c r="K29" s="18" t="s">
        <v>1193</v>
      </c>
      <c r="L29" s="18" t="s">
        <v>1194</v>
      </c>
      <c r="M29" s="18" t="s">
        <v>1195</v>
      </c>
    </row>
    <row r="30" customFormat="false" ht="23.25" hidden="false" customHeight="true" outlineLevel="0" collapsed="false">
      <c r="A30" s="18" t="n">
        <v>32</v>
      </c>
      <c r="B30" s="18" t="s">
        <v>689</v>
      </c>
      <c r="C30" s="18" t="s">
        <v>1185</v>
      </c>
      <c r="D30" s="18" t="s">
        <v>159</v>
      </c>
      <c r="E30" s="18" t="s">
        <v>193</v>
      </c>
      <c r="F30" s="18" t="s">
        <v>1125</v>
      </c>
      <c r="G30" s="18" t="s">
        <v>1196</v>
      </c>
      <c r="H30" s="27" t="s">
        <v>1057</v>
      </c>
      <c r="I30" s="23" t="s">
        <v>38</v>
      </c>
      <c r="J30" s="18" t="s">
        <v>1197</v>
      </c>
      <c r="K30" s="18" t="s">
        <v>1198</v>
      </c>
      <c r="L30" s="18" t="s">
        <v>1199</v>
      </c>
      <c r="M30" s="18" t="s">
        <v>1200</v>
      </c>
    </row>
    <row r="31" customFormat="false" ht="23.25" hidden="false" customHeight="true" outlineLevel="0" collapsed="false">
      <c r="A31" s="18" t="n">
        <v>33</v>
      </c>
      <c r="B31" s="18" t="s">
        <v>855</v>
      </c>
      <c r="C31" s="18" t="s">
        <v>1201</v>
      </c>
      <c r="D31" s="18" t="s">
        <v>159</v>
      </c>
      <c r="E31" s="18" t="s">
        <v>198</v>
      </c>
      <c r="F31" s="18" t="s">
        <v>1125</v>
      </c>
      <c r="G31" s="18" t="s">
        <v>1202</v>
      </c>
      <c r="H31" s="22" t="s">
        <v>1203</v>
      </c>
      <c r="I31" s="23" t="s">
        <v>38</v>
      </c>
      <c r="J31" s="18" t="s">
        <v>1204</v>
      </c>
      <c r="K31" s="18" t="s">
        <v>1205</v>
      </c>
      <c r="L31" s="18" t="s">
        <v>1206</v>
      </c>
      <c r="M31" s="18" t="s">
        <v>1207</v>
      </c>
    </row>
    <row r="32" customFormat="false" ht="23.25" hidden="false" customHeight="true" outlineLevel="0" collapsed="false">
      <c r="A32" s="18" t="n">
        <v>34</v>
      </c>
      <c r="B32" s="18" t="s">
        <v>858</v>
      </c>
      <c r="C32" s="18" t="s">
        <v>1201</v>
      </c>
      <c r="D32" s="18" t="s">
        <v>159</v>
      </c>
      <c r="E32" s="18" t="s">
        <v>203</v>
      </c>
      <c r="F32" s="18" t="s">
        <v>1125</v>
      </c>
      <c r="G32" s="18" t="s">
        <v>1148</v>
      </c>
      <c r="H32" s="23" t="s">
        <v>1050</v>
      </c>
      <c r="I32" s="24" t="s">
        <v>36</v>
      </c>
      <c r="J32" s="18" t="s">
        <v>1208</v>
      </c>
      <c r="K32" s="18" t="s">
        <v>1209</v>
      </c>
      <c r="L32" s="18" t="s">
        <v>1210</v>
      </c>
      <c r="M32" s="18" t="s">
        <v>1211</v>
      </c>
    </row>
    <row r="33" customFormat="false" ht="23.25" hidden="false" customHeight="true" outlineLevel="0" collapsed="false">
      <c r="A33" s="18" t="n">
        <v>35</v>
      </c>
      <c r="B33" s="18" t="s">
        <v>1212</v>
      </c>
      <c r="C33" s="18" t="s">
        <v>1201</v>
      </c>
      <c r="D33" s="18" t="s">
        <v>159</v>
      </c>
      <c r="E33" s="18" t="s">
        <v>208</v>
      </c>
      <c r="F33" s="18" t="s">
        <v>1125</v>
      </c>
      <c r="G33" s="18" t="s">
        <v>1148</v>
      </c>
      <c r="H33" s="23" t="s">
        <v>1050</v>
      </c>
      <c r="I33" s="24" t="s">
        <v>36</v>
      </c>
      <c r="J33" s="18" t="s">
        <v>1213</v>
      </c>
      <c r="K33" s="18" t="s">
        <v>1214</v>
      </c>
      <c r="L33" s="18" t="s">
        <v>1215</v>
      </c>
      <c r="M33" s="18" t="s">
        <v>1216</v>
      </c>
    </row>
    <row r="34" customFormat="false" ht="23.25" hidden="false" customHeight="true" outlineLevel="0" collapsed="false">
      <c r="A34" s="18" t="n">
        <v>36</v>
      </c>
      <c r="B34" s="18" t="s">
        <v>662</v>
      </c>
      <c r="C34" s="18" t="s">
        <v>1201</v>
      </c>
      <c r="D34" s="18" t="s">
        <v>159</v>
      </c>
      <c r="E34" s="18" t="s">
        <v>212</v>
      </c>
      <c r="F34" s="18" t="s">
        <v>1148</v>
      </c>
      <c r="G34" s="18" t="s">
        <v>1217</v>
      </c>
      <c r="H34" s="27" t="s">
        <v>1057</v>
      </c>
      <c r="I34" s="23" t="s">
        <v>38</v>
      </c>
      <c r="J34" s="18" t="s">
        <v>1218</v>
      </c>
      <c r="K34" s="18" t="s">
        <v>1219</v>
      </c>
      <c r="L34" s="18" t="s">
        <v>1183</v>
      </c>
      <c r="M34" s="18" t="s">
        <v>1220</v>
      </c>
    </row>
    <row r="35" customFormat="false" ht="23.25" hidden="false" customHeight="true" outlineLevel="0" collapsed="false">
      <c r="A35" s="18" t="n">
        <v>38</v>
      </c>
      <c r="B35" s="18" t="s">
        <v>693</v>
      </c>
      <c r="C35" s="18" t="s">
        <v>1221</v>
      </c>
      <c r="D35" s="18" t="s">
        <v>213</v>
      </c>
      <c r="E35" s="18" t="s">
        <v>215</v>
      </c>
      <c r="F35" s="18" t="s">
        <v>1222</v>
      </c>
      <c r="G35" s="18" t="s">
        <v>1223</v>
      </c>
      <c r="H35" s="23" t="s">
        <v>1050</v>
      </c>
      <c r="I35" s="24" t="s">
        <v>36</v>
      </c>
      <c r="J35" s="18" t="s">
        <v>1224</v>
      </c>
      <c r="K35" s="18" t="s">
        <v>1225</v>
      </c>
      <c r="L35" s="18" t="s">
        <v>1226</v>
      </c>
      <c r="M35" s="18" t="s">
        <v>1227</v>
      </c>
    </row>
    <row r="36" customFormat="false" ht="23.25" hidden="false" customHeight="true" outlineLevel="0" collapsed="false">
      <c r="A36" s="18" t="n">
        <v>39</v>
      </c>
      <c r="B36" s="18" t="s">
        <v>262</v>
      </c>
      <c r="C36" s="18" t="s">
        <v>1221</v>
      </c>
      <c r="D36" s="18" t="s">
        <v>213</v>
      </c>
      <c r="E36" s="18" t="s">
        <v>220</v>
      </c>
      <c r="F36" s="18" t="s">
        <v>1222</v>
      </c>
      <c r="G36" s="18" t="s">
        <v>1223</v>
      </c>
      <c r="H36" s="23" t="s">
        <v>1050</v>
      </c>
      <c r="I36" s="24" t="s">
        <v>36</v>
      </c>
      <c r="J36" s="18" t="s">
        <v>1224</v>
      </c>
      <c r="K36" s="18" t="s">
        <v>1225</v>
      </c>
      <c r="L36" s="18" t="s">
        <v>1226</v>
      </c>
      <c r="M36" s="18" t="s">
        <v>1228</v>
      </c>
    </row>
    <row r="37" customFormat="false" ht="23.25" hidden="false" customHeight="true" outlineLevel="0" collapsed="false">
      <c r="A37" s="18" t="n">
        <v>40</v>
      </c>
      <c r="B37" s="18" t="s">
        <v>696</v>
      </c>
      <c r="C37" s="18" t="s">
        <v>1221</v>
      </c>
      <c r="D37" s="18" t="s">
        <v>213</v>
      </c>
      <c r="E37" s="18" t="s">
        <v>225</v>
      </c>
      <c r="F37" s="18" t="s">
        <v>1222</v>
      </c>
      <c r="G37" s="18" t="s">
        <v>1223</v>
      </c>
      <c r="H37" s="23" t="s">
        <v>1050</v>
      </c>
      <c r="I37" s="24" t="s">
        <v>36</v>
      </c>
      <c r="J37" s="18" t="s">
        <v>1224</v>
      </c>
      <c r="K37" s="18" t="s">
        <v>1225</v>
      </c>
      <c r="L37" s="18" t="s">
        <v>1226</v>
      </c>
      <c r="M37" s="18" t="s">
        <v>1229</v>
      </c>
    </row>
    <row r="38" customFormat="false" ht="34.5" hidden="false" customHeight="true" outlineLevel="0" collapsed="false">
      <c r="A38" s="18" t="n">
        <v>41</v>
      </c>
      <c r="B38" s="18" t="s">
        <v>283</v>
      </c>
      <c r="C38" s="18" t="s">
        <v>1230</v>
      </c>
      <c r="D38" s="18" t="s">
        <v>213</v>
      </c>
      <c r="E38" s="18" t="s">
        <v>230</v>
      </c>
      <c r="F38" s="18" t="s">
        <v>1222</v>
      </c>
      <c r="G38" s="18" t="s">
        <v>1223</v>
      </c>
      <c r="H38" s="23" t="s">
        <v>1050</v>
      </c>
      <c r="I38" s="24" t="s">
        <v>36</v>
      </c>
      <c r="J38" s="18" t="s">
        <v>1224</v>
      </c>
      <c r="K38" s="18" t="s">
        <v>1225</v>
      </c>
      <c r="L38" s="18" t="s">
        <v>1226</v>
      </c>
      <c r="M38" s="18" t="s">
        <v>1231</v>
      </c>
    </row>
    <row r="39" customFormat="false" ht="23.25" hidden="false" customHeight="true" outlineLevel="0" collapsed="false">
      <c r="A39" s="18" t="n">
        <v>42</v>
      </c>
      <c r="B39" s="18" t="s">
        <v>699</v>
      </c>
      <c r="C39" s="18" t="s">
        <v>1221</v>
      </c>
      <c r="D39" s="18" t="s">
        <v>213</v>
      </c>
      <c r="E39" s="18" t="s">
        <v>235</v>
      </c>
      <c r="F39" s="18" t="s">
        <v>1222</v>
      </c>
      <c r="G39" s="18" t="s">
        <v>1223</v>
      </c>
      <c r="H39" s="23" t="s">
        <v>1050</v>
      </c>
      <c r="I39" s="24" t="s">
        <v>36</v>
      </c>
      <c r="J39" s="18" t="s">
        <v>1224</v>
      </c>
      <c r="K39" s="18" t="s">
        <v>1225</v>
      </c>
      <c r="L39" s="18" t="s">
        <v>1226</v>
      </c>
      <c r="M39" s="18" t="s">
        <v>1232</v>
      </c>
    </row>
    <row r="40" customFormat="false" ht="23.25" hidden="false" customHeight="true" outlineLevel="0" collapsed="false">
      <c r="A40" s="18" t="n">
        <v>43</v>
      </c>
      <c r="B40" s="18" t="s">
        <v>701</v>
      </c>
      <c r="C40" s="18" t="s">
        <v>1221</v>
      </c>
      <c r="D40" s="18" t="s">
        <v>213</v>
      </c>
      <c r="E40" s="18" t="s">
        <v>240</v>
      </c>
      <c r="F40" s="18" t="s">
        <v>1222</v>
      </c>
      <c r="G40" s="18" t="s">
        <v>1223</v>
      </c>
      <c r="H40" s="23" t="s">
        <v>1050</v>
      </c>
      <c r="I40" s="24" t="s">
        <v>36</v>
      </c>
      <c r="J40" s="18" t="s">
        <v>1224</v>
      </c>
      <c r="K40" s="18" t="s">
        <v>1225</v>
      </c>
      <c r="L40" s="18" t="s">
        <v>1226</v>
      </c>
      <c r="M40" s="18" t="s">
        <v>1233</v>
      </c>
    </row>
    <row r="41" customFormat="false" ht="23.25" hidden="false" customHeight="true" outlineLevel="0" collapsed="false">
      <c r="A41" s="18" t="n">
        <v>44</v>
      </c>
      <c r="B41" s="18" t="s">
        <v>704</v>
      </c>
      <c r="C41" s="18" t="s">
        <v>1221</v>
      </c>
      <c r="D41" s="18" t="s">
        <v>213</v>
      </c>
      <c r="E41" s="18" t="s">
        <v>240</v>
      </c>
      <c r="F41" s="18" t="s">
        <v>1222</v>
      </c>
      <c r="G41" s="18" t="s">
        <v>1223</v>
      </c>
      <c r="H41" s="23" t="s">
        <v>1050</v>
      </c>
      <c r="I41" s="24" t="s">
        <v>36</v>
      </c>
      <c r="J41" s="18" t="s">
        <v>1224</v>
      </c>
      <c r="K41" s="18" t="s">
        <v>1225</v>
      </c>
      <c r="L41" s="18" t="s">
        <v>1226</v>
      </c>
      <c r="M41" s="18" t="s">
        <v>1234</v>
      </c>
    </row>
    <row r="42" customFormat="false" ht="34.5" hidden="false" customHeight="true" outlineLevel="0" collapsed="false">
      <c r="A42" s="18" t="n">
        <v>45</v>
      </c>
      <c r="B42" s="18" t="s">
        <v>1235</v>
      </c>
      <c r="C42" s="18" t="s">
        <v>1221</v>
      </c>
      <c r="D42" s="18" t="s">
        <v>213</v>
      </c>
      <c r="E42" s="18" t="s">
        <v>240</v>
      </c>
      <c r="F42" s="18" t="s">
        <v>1222</v>
      </c>
      <c r="G42" s="18" t="s">
        <v>1223</v>
      </c>
      <c r="H42" s="23" t="s">
        <v>1050</v>
      </c>
      <c r="I42" s="23" t="s">
        <v>38</v>
      </c>
      <c r="J42" s="18" t="s">
        <v>1224</v>
      </c>
      <c r="K42" s="18" t="s">
        <v>1236</v>
      </c>
      <c r="L42" s="18" t="s">
        <v>1237</v>
      </c>
      <c r="M42" s="18" t="s">
        <v>1238</v>
      </c>
    </row>
    <row r="43" customFormat="false" ht="15" hidden="false" customHeight="true" outlineLevel="0" collapsed="false">
      <c r="A43" s="18" t="n">
        <v>46</v>
      </c>
      <c r="B43" s="18" t="s">
        <v>289</v>
      </c>
      <c r="C43" s="18" t="s">
        <v>1239</v>
      </c>
      <c r="D43" s="18" t="s">
        <v>252</v>
      </c>
      <c r="E43" s="18" t="s">
        <v>254</v>
      </c>
      <c r="F43" s="18" t="s">
        <v>1148</v>
      </c>
      <c r="G43" s="18" t="s">
        <v>1125</v>
      </c>
      <c r="H43" s="23" t="s">
        <v>1050</v>
      </c>
      <c r="I43" s="23" t="s">
        <v>38</v>
      </c>
      <c r="J43" s="18" t="s">
        <v>1240</v>
      </c>
      <c r="K43" s="18" t="s">
        <v>1241</v>
      </c>
      <c r="L43" s="18" t="s">
        <v>1242</v>
      </c>
      <c r="M43" s="18" t="s">
        <v>1243</v>
      </c>
    </row>
    <row r="44" customFormat="false" ht="23.25" hidden="false" customHeight="true" outlineLevel="0" collapsed="false">
      <c r="A44" s="18" t="n">
        <v>47</v>
      </c>
      <c r="B44" s="18" t="s">
        <v>708</v>
      </c>
      <c r="C44" s="18" t="s">
        <v>1239</v>
      </c>
      <c r="D44" s="18" t="s">
        <v>252</v>
      </c>
      <c r="E44" s="18" t="s">
        <v>259</v>
      </c>
      <c r="F44" s="18" t="s">
        <v>1244</v>
      </c>
      <c r="G44" s="18" t="s">
        <v>1217</v>
      </c>
      <c r="H44" s="23" t="s">
        <v>1050</v>
      </c>
      <c r="I44" s="24" t="s">
        <v>36</v>
      </c>
      <c r="J44" s="18" t="s">
        <v>1245</v>
      </c>
      <c r="K44" s="18" t="s">
        <v>1246</v>
      </c>
      <c r="L44" s="18" t="s">
        <v>1247</v>
      </c>
      <c r="M44" s="18" t="s">
        <v>1248</v>
      </c>
    </row>
    <row r="45" customFormat="false" ht="23.25" hidden="false" customHeight="true" outlineLevel="0" collapsed="false">
      <c r="A45" s="18" t="n">
        <v>48</v>
      </c>
      <c r="B45" s="18" t="s">
        <v>710</v>
      </c>
      <c r="C45" s="18" t="s">
        <v>1239</v>
      </c>
      <c r="D45" s="18" t="s">
        <v>252</v>
      </c>
      <c r="E45" s="18" t="s">
        <v>264</v>
      </c>
      <c r="F45" s="18" t="s">
        <v>1125</v>
      </c>
      <c r="G45" s="18" t="s">
        <v>1148</v>
      </c>
      <c r="H45" s="23" t="s">
        <v>1050</v>
      </c>
      <c r="I45" s="23" t="s">
        <v>38</v>
      </c>
      <c r="J45" s="18" t="s">
        <v>1249</v>
      </c>
      <c r="K45" s="18" t="s">
        <v>1250</v>
      </c>
      <c r="L45" s="18" t="s">
        <v>1251</v>
      </c>
      <c r="M45" s="18" t="s">
        <v>1252</v>
      </c>
    </row>
    <row r="46" customFormat="false" ht="23.25" hidden="false" customHeight="true" outlineLevel="0" collapsed="false">
      <c r="A46" s="18" t="n">
        <v>49</v>
      </c>
      <c r="B46" s="18" t="s">
        <v>297</v>
      </c>
      <c r="C46" s="18" t="s">
        <v>1239</v>
      </c>
      <c r="D46" s="18" t="s">
        <v>252</v>
      </c>
      <c r="E46" s="18" t="s">
        <v>268</v>
      </c>
      <c r="F46" s="18" t="s">
        <v>1125</v>
      </c>
      <c r="G46" s="18" t="s">
        <v>1148</v>
      </c>
      <c r="H46" s="23" t="s">
        <v>1050</v>
      </c>
      <c r="I46" s="23" t="s">
        <v>38</v>
      </c>
      <c r="J46" s="18" t="s">
        <v>1249</v>
      </c>
      <c r="K46" s="18" t="s">
        <v>1250</v>
      </c>
      <c r="L46" s="18" t="s">
        <v>1251</v>
      </c>
      <c r="M46" s="18" t="s">
        <v>1253</v>
      </c>
    </row>
    <row r="47" customFormat="false" ht="23.25" hidden="false" customHeight="true" outlineLevel="0" collapsed="false">
      <c r="A47" s="18" t="n">
        <v>50</v>
      </c>
      <c r="B47" s="18" t="s">
        <v>302</v>
      </c>
      <c r="C47" s="18" t="s">
        <v>1239</v>
      </c>
      <c r="D47" s="18" t="s">
        <v>252</v>
      </c>
      <c r="E47" s="18" t="s">
        <v>272</v>
      </c>
      <c r="F47" s="18" t="s">
        <v>1125</v>
      </c>
      <c r="G47" s="18" t="s">
        <v>1148</v>
      </c>
      <c r="H47" s="23" t="s">
        <v>1050</v>
      </c>
      <c r="I47" s="23" t="s">
        <v>38</v>
      </c>
      <c r="J47" s="18" t="s">
        <v>1249</v>
      </c>
      <c r="K47" s="18" t="s">
        <v>1250</v>
      </c>
      <c r="L47" s="18" t="s">
        <v>1251</v>
      </c>
      <c r="M47" s="18" t="s">
        <v>1254</v>
      </c>
    </row>
    <row r="48" customFormat="false" ht="23.25" hidden="false" customHeight="true" outlineLevel="0" collapsed="false">
      <c r="A48" s="18" t="n">
        <v>51</v>
      </c>
      <c r="B48" s="18" t="s">
        <v>714</v>
      </c>
      <c r="C48" s="18" t="s">
        <v>1239</v>
      </c>
      <c r="D48" s="18" t="s">
        <v>252</v>
      </c>
      <c r="E48" s="18" t="s">
        <v>276</v>
      </c>
      <c r="F48" s="18" t="s">
        <v>1125</v>
      </c>
      <c r="G48" s="18" t="s">
        <v>1148</v>
      </c>
      <c r="H48" s="27" t="s">
        <v>1057</v>
      </c>
      <c r="I48" s="23" t="s">
        <v>38</v>
      </c>
      <c r="J48" s="18" t="s">
        <v>1249</v>
      </c>
      <c r="K48" s="18" t="s">
        <v>1250</v>
      </c>
      <c r="L48" s="18" t="s">
        <v>1251</v>
      </c>
      <c r="M48" s="18" t="s">
        <v>1255</v>
      </c>
    </row>
    <row r="49" customFormat="false" ht="23.25" hidden="false" customHeight="true" outlineLevel="0" collapsed="false">
      <c r="A49" s="18" t="n">
        <v>52</v>
      </c>
      <c r="B49" s="18" t="s">
        <v>716</v>
      </c>
      <c r="C49" s="18" t="s">
        <v>1239</v>
      </c>
      <c r="D49" s="18" t="s">
        <v>252</v>
      </c>
      <c r="E49" s="18" t="s">
        <v>280</v>
      </c>
      <c r="F49" s="18" t="s">
        <v>1125</v>
      </c>
      <c r="G49" s="18" t="s">
        <v>1148</v>
      </c>
      <c r="H49" s="23" t="s">
        <v>1050</v>
      </c>
      <c r="I49" s="23" t="s">
        <v>38</v>
      </c>
      <c r="J49" s="18" t="s">
        <v>1256</v>
      </c>
      <c r="K49" s="18" t="s">
        <v>1257</v>
      </c>
      <c r="L49" s="18" t="s">
        <v>1258</v>
      </c>
      <c r="M49" s="18" t="s">
        <v>1259</v>
      </c>
    </row>
    <row r="50" customFormat="false" ht="23.25" hidden="false" customHeight="true" outlineLevel="0" collapsed="false">
      <c r="A50" s="18" t="n">
        <v>54</v>
      </c>
      <c r="B50" s="18" t="s">
        <v>326</v>
      </c>
      <c r="C50" s="18" t="s">
        <v>1260</v>
      </c>
      <c r="D50" s="18" t="s">
        <v>284</v>
      </c>
      <c r="E50" s="18" t="s">
        <v>286</v>
      </c>
      <c r="F50" s="18" t="s">
        <v>1125</v>
      </c>
      <c r="G50" s="18" t="s">
        <v>1148</v>
      </c>
      <c r="H50" s="23" t="s">
        <v>1050</v>
      </c>
      <c r="I50" s="23" t="s">
        <v>38</v>
      </c>
      <c r="J50" s="18" t="s">
        <v>1261</v>
      </c>
      <c r="K50" s="18" t="s">
        <v>1262</v>
      </c>
      <c r="L50" s="18" t="s">
        <v>1263</v>
      </c>
      <c r="M50" s="18" t="s">
        <v>1264</v>
      </c>
    </row>
    <row r="51" customFormat="false" ht="23.25" hidden="false" customHeight="true" outlineLevel="0" collapsed="false">
      <c r="A51" s="18" t="n">
        <v>55</v>
      </c>
      <c r="B51" s="18" t="s">
        <v>331</v>
      </c>
      <c r="C51" s="18" t="s">
        <v>1260</v>
      </c>
      <c r="D51" s="18" t="s">
        <v>284</v>
      </c>
      <c r="E51" s="18" t="s">
        <v>286</v>
      </c>
      <c r="F51" s="18" t="s">
        <v>1125</v>
      </c>
      <c r="G51" s="18" t="s">
        <v>1148</v>
      </c>
      <c r="H51" s="23" t="s">
        <v>1050</v>
      </c>
      <c r="I51" s="23" t="s">
        <v>38</v>
      </c>
      <c r="J51" s="18" t="s">
        <v>1265</v>
      </c>
      <c r="K51" s="18" t="s">
        <v>1265</v>
      </c>
      <c r="L51" s="18" t="s">
        <v>1265</v>
      </c>
      <c r="M51" s="18" t="s">
        <v>1266</v>
      </c>
    </row>
    <row r="52" customFormat="false" ht="23.25" hidden="false" customHeight="true" outlineLevel="0" collapsed="false">
      <c r="A52" s="18" t="n">
        <v>56</v>
      </c>
      <c r="B52" s="18" t="s">
        <v>349</v>
      </c>
      <c r="C52" s="18" t="s">
        <v>1260</v>
      </c>
      <c r="D52" s="18" t="s">
        <v>284</v>
      </c>
      <c r="E52" s="18" t="s">
        <v>290</v>
      </c>
      <c r="F52" s="18" t="s">
        <v>1267</v>
      </c>
      <c r="G52" s="18" t="s">
        <v>1268</v>
      </c>
      <c r="H52" s="20" t="s">
        <v>1064</v>
      </c>
      <c r="I52" s="24" t="s">
        <v>36</v>
      </c>
      <c r="J52" s="18" t="s">
        <v>1269</v>
      </c>
      <c r="K52" s="18" t="s">
        <v>1270</v>
      </c>
      <c r="L52" s="18" t="s">
        <v>1188</v>
      </c>
      <c r="M52" s="18"/>
    </row>
    <row r="53" customFormat="false" ht="23.25" hidden="false" customHeight="true" outlineLevel="0" collapsed="false">
      <c r="A53" s="18" t="n">
        <v>57</v>
      </c>
      <c r="B53" s="18" t="s">
        <v>730</v>
      </c>
      <c r="C53" s="18" t="s">
        <v>1271</v>
      </c>
      <c r="D53" s="18" t="s">
        <v>284</v>
      </c>
      <c r="E53" s="18" t="s">
        <v>294</v>
      </c>
      <c r="F53" s="18" t="s">
        <v>1272</v>
      </c>
      <c r="G53" s="18" t="s">
        <v>1273</v>
      </c>
      <c r="H53" s="23" t="s">
        <v>1050</v>
      </c>
      <c r="I53" s="24" t="s">
        <v>36</v>
      </c>
      <c r="J53" s="18" t="s">
        <v>1274</v>
      </c>
      <c r="K53" s="18" t="s">
        <v>1275</v>
      </c>
      <c r="L53" s="18" t="s">
        <v>1276</v>
      </c>
      <c r="M53" s="18" t="s">
        <v>1277</v>
      </c>
    </row>
    <row r="54" customFormat="false" ht="23.25" hidden="false" customHeight="true" outlineLevel="0" collapsed="false">
      <c r="A54" s="18" t="n">
        <v>58</v>
      </c>
      <c r="B54" s="18" t="s">
        <v>363</v>
      </c>
      <c r="C54" s="18" t="s">
        <v>1271</v>
      </c>
      <c r="D54" s="18" t="s">
        <v>284</v>
      </c>
      <c r="E54" s="18" t="s">
        <v>298</v>
      </c>
      <c r="F54" s="18" t="s">
        <v>1278</v>
      </c>
      <c r="G54" s="18" t="s">
        <v>1279</v>
      </c>
      <c r="H54" s="22" t="s">
        <v>1092</v>
      </c>
      <c r="I54" s="23" t="s">
        <v>38</v>
      </c>
      <c r="J54" s="18" t="s">
        <v>1280</v>
      </c>
      <c r="K54" s="18" t="s">
        <v>1281</v>
      </c>
      <c r="L54" s="18" t="s">
        <v>1282</v>
      </c>
      <c r="M54" s="18" t="s">
        <v>1283</v>
      </c>
    </row>
    <row r="55" customFormat="false" ht="34.5" hidden="false" customHeight="true" outlineLevel="0" collapsed="false">
      <c r="A55" s="18" t="n">
        <v>59</v>
      </c>
      <c r="B55" s="18" t="s">
        <v>366</v>
      </c>
      <c r="C55" s="18" t="s">
        <v>1271</v>
      </c>
      <c r="D55" s="18" t="s">
        <v>284</v>
      </c>
      <c r="E55" s="18" t="s">
        <v>299</v>
      </c>
      <c r="F55" s="18" t="s">
        <v>1284</v>
      </c>
      <c r="G55" s="18" t="s">
        <v>1285</v>
      </c>
      <c r="H55" s="23" t="s">
        <v>1050</v>
      </c>
      <c r="I55" s="24" t="s">
        <v>36</v>
      </c>
      <c r="J55" s="18" t="s">
        <v>1286</v>
      </c>
      <c r="K55" s="18" t="s">
        <v>1287</v>
      </c>
      <c r="L55" s="18" t="s">
        <v>1276</v>
      </c>
      <c r="M55" s="18" t="s">
        <v>1288</v>
      </c>
    </row>
    <row r="56" customFormat="false" ht="23.25" hidden="false" customHeight="true" outlineLevel="0" collapsed="false">
      <c r="A56" s="18" t="n">
        <v>60</v>
      </c>
      <c r="B56" s="18" t="s">
        <v>341</v>
      </c>
      <c r="C56" s="18" t="s">
        <v>1289</v>
      </c>
      <c r="D56" s="18" t="s">
        <v>284</v>
      </c>
      <c r="E56" s="18" t="s">
        <v>304</v>
      </c>
      <c r="F56" s="18" t="s">
        <v>1290</v>
      </c>
      <c r="G56" s="18" t="s">
        <v>1291</v>
      </c>
      <c r="H56" s="23" t="s">
        <v>1050</v>
      </c>
      <c r="I56" s="24" t="s">
        <v>36</v>
      </c>
      <c r="J56" s="18" t="s">
        <v>1292</v>
      </c>
      <c r="K56" s="18" t="s">
        <v>1293</v>
      </c>
      <c r="L56" s="18" t="s">
        <v>1071</v>
      </c>
      <c r="M56" s="18" t="s">
        <v>1294</v>
      </c>
    </row>
    <row r="57" customFormat="false" ht="23.25" hidden="false" customHeight="true" outlineLevel="0" collapsed="false">
      <c r="A57" s="18" t="n">
        <v>61</v>
      </c>
      <c r="B57" s="18" t="s">
        <v>371</v>
      </c>
      <c r="C57" s="18" t="s">
        <v>1295</v>
      </c>
      <c r="D57" s="18" t="s">
        <v>284</v>
      </c>
      <c r="E57" s="18" t="s">
        <v>307</v>
      </c>
      <c r="F57" s="18" t="s">
        <v>1125</v>
      </c>
      <c r="G57" s="18" t="s">
        <v>1296</v>
      </c>
      <c r="H57" s="23" t="s">
        <v>1050</v>
      </c>
      <c r="I57" s="23" t="s">
        <v>38</v>
      </c>
      <c r="J57" s="18" t="s">
        <v>1297</v>
      </c>
      <c r="K57" s="18" t="s">
        <v>1298</v>
      </c>
      <c r="L57" s="18" t="s">
        <v>1299</v>
      </c>
      <c r="M57" s="18" t="s">
        <v>1300</v>
      </c>
    </row>
    <row r="58" customFormat="false" ht="23.25" hidden="false" customHeight="true" outlineLevel="0" collapsed="false">
      <c r="A58" s="18" t="n">
        <v>62</v>
      </c>
      <c r="B58" s="18" t="s">
        <v>741</v>
      </c>
      <c r="C58" s="18" t="s">
        <v>1301</v>
      </c>
      <c r="D58" s="18" t="s">
        <v>284</v>
      </c>
      <c r="E58" s="18" t="s">
        <v>312</v>
      </c>
      <c r="F58" s="18" t="s">
        <v>1125</v>
      </c>
      <c r="G58" s="18" t="s">
        <v>1302</v>
      </c>
      <c r="H58" s="23" t="s">
        <v>1050</v>
      </c>
      <c r="I58" s="23" t="s">
        <v>38</v>
      </c>
      <c r="J58" s="18" t="s">
        <v>1303</v>
      </c>
      <c r="K58" s="18" t="s">
        <v>1304</v>
      </c>
      <c r="L58" s="18" t="s">
        <v>1305</v>
      </c>
      <c r="M58" s="18" t="s">
        <v>1306</v>
      </c>
    </row>
    <row r="59" customFormat="false" ht="45.75" hidden="false" customHeight="true" outlineLevel="0" collapsed="false">
      <c r="A59" s="18" t="n">
        <v>64</v>
      </c>
      <c r="B59" s="18" t="s">
        <v>382</v>
      </c>
      <c r="C59" s="18" t="s">
        <v>1307</v>
      </c>
      <c r="D59" s="18" t="s">
        <v>316</v>
      </c>
      <c r="E59" s="18" t="s">
        <v>318</v>
      </c>
      <c r="F59" s="18" t="s">
        <v>1125</v>
      </c>
      <c r="G59" s="18" t="s">
        <v>1148</v>
      </c>
      <c r="H59" s="23" t="s">
        <v>1050</v>
      </c>
      <c r="I59" s="23" t="s">
        <v>38</v>
      </c>
      <c r="J59" s="18" t="s">
        <v>1308</v>
      </c>
      <c r="K59" s="18" t="s">
        <v>1309</v>
      </c>
      <c r="L59" s="18" t="s">
        <v>1310</v>
      </c>
      <c r="M59" s="18" t="s">
        <v>1311</v>
      </c>
    </row>
    <row r="60" customFormat="false" ht="34.5" hidden="false" customHeight="true" outlineLevel="0" collapsed="false">
      <c r="A60" s="18" t="n">
        <v>65</v>
      </c>
      <c r="B60" s="18" t="s">
        <v>758</v>
      </c>
      <c r="C60" s="18" t="s">
        <v>1307</v>
      </c>
      <c r="D60" s="18" t="s">
        <v>316</v>
      </c>
      <c r="E60" s="18" t="s">
        <v>323</v>
      </c>
      <c r="F60" s="18" t="s">
        <v>1125</v>
      </c>
      <c r="G60" s="18" t="s">
        <v>1148</v>
      </c>
      <c r="H60" s="23" t="s">
        <v>1050</v>
      </c>
      <c r="I60" s="23" t="s">
        <v>38</v>
      </c>
      <c r="J60" s="18" t="s">
        <v>1312</v>
      </c>
      <c r="K60" s="18" t="s">
        <v>1313</v>
      </c>
      <c r="L60" s="18" t="s">
        <v>1314</v>
      </c>
      <c r="M60" s="18" t="s">
        <v>1315</v>
      </c>
    </row>
    <row r="61" customFormat="false" ht="34.5" hidden="false" customHeight="true" outlineLevel="0" collapsed="false">
      <c r="A61" s="18" t="n">
        <v>66</v>
      </c>
      <c r="B61" s="18" t="s">
        <v>761</v>
      </c>
      <c r="C61" s="18" t="s">
        <v>1307</v>
      </c>
      <c r="D61" s="18" t="s">
        <v>316</v>
      </c>
      <c r="E61" s="18" t="s">
        <v>328</v>
      </c>
      <c r="F61" s="18" t="s">
        <v>1125</v>
      </c>
      <c r="G61" s="18" t="s">
        <v>1148</v>
      </c>
      <c r="H61" s="27" t="s">
        <v>1057</v>
      </c>
      <c r="I61" s="23" t="s">
        <v>38</v>
      </c>
      <c r="J61" s="18" t="s">
        <v>1316</v>
      </c>
      <c r="K61" s="18" t="s">
        <v>1317</v>
      </c>
      <c r="L61" s="18" t="s">
        <v>1183</v>
      </c>
      <c r="M61" s="18" t="s">
        <v>1318</v>
      </c>
    </row>
    <row r="62" customFormat="false" ht="34.5" hidden="false" customHeight="true" outlineLevel="0" collapsed="false">
      <c r="A62" s="18" t="n">
        <v>67</v>
      </c>
      <c r="B62" s="18" t="s">
        <v>1319</v>
      </c>
      <c r="C62" s="18" t="s">
        <v>1320</v>
      </c>
      <c r="D62" s="18" t="s">
        <v>316</v>
      </c>
      <c r="E62" s="18" t="s">
        <v>333</v>
      </c>
      <c r="F62" s="18" t="s">
        <v>1217</v>
      </c>
      <c r="G62" s="18" t="s">
        <v>1148</v>
      </c>
      <c r="H62" s="23" t="s">
        <v>1050</v>
      </c>
      <c r="I62" s="23" t="s">
        <v>38</v>
      </c>
      <c r="J62" s="18" t="s">
        <v>1321</v>
      </c>
      <c r="K62" s="18" t="s">
        <v>1322</v>
      </c>
      <c r="L62" s="18" t="s">
        <v>1323</v>
      </c>
      <c r="M62" s="18" t="s">
        <v>1324</v>
      </c>
    </row>
    <row r="63" customFormat="false" ht="34.5" hidden="false" customHeight="true" outlineLevel="0" collapsed="false">
      <c r="A63" s="18" t="n">
        <v>68</v>
      </c>
      <c r="B63" s="18" t="s">
        <v>1325</v>
      </c>
      <c r="C63" s="18" t="s">
        <v>1307</v>
      </c>
      <c r="D63" s="18" t="s">
        <v>316</v>
      </c>
      <c r="E63" s="18" t="s">
        <v>338</v>
      </c>
      <c r="F63" s="18" t="s">
        <v>1125</v>
      </c>
      <c r="G63" s="18" t="s">
        <v>1148</v>
      </c>
      <c r="H63" s="23" t="s">
        <v>1050</v>
      </c>
      <c r="I63" s="23" t="s">
        <v>38</v>
      </c>
      <c r="J63" s="18" t="s">
        <v>1326</v>
      </c>
      <c r="K63" s="18" t="s">
        <v>1327</v>
      </c>
      <c r="L63" s="18" t="s">
        <v>1328</v>
      </c>
      <c r="M63" s="18" t="s">
        <v>1329</v>
      </c>
    </row>
    <row r="64" customFormat="false" ht="34.5" hidden="false" customHeight="true" outlineLevel="0" collapsed="false">
      <c r="A64" s="18" t="n">
        <v>69</v>
      </c>
      <c r="B64" s="18" t="s">
        <v>1330</v>
      </c>
      <c r="C64" s="18" t="s">
        <v>1320</v>
      </c>
      <c r="D64" s="18" t="s">
        <v>316</v>
      </c>
      <c r="E64" s="18" t="s">
        <v>333</v>
      </c>
      <c r="F64" s="18" t="s">
        <v>1217</v>
      </c>
      <c r="G64" s="18" t="s">
        <v>1148</v>
      </c>
      <c r="H64" s="23" t="s">
        <v>1050</v>
      </c>
      <c r="I64" s="23" t="s">
        <v>38</v>
      </c>
      <c r="J64" s="18" t="s">
        <v>1321</v>
      </c>
      <c r="K64" s="18" t="s">
        <v>1322</v>
      </c>
      <c r="L64" s="18" t="s">
        <v>1323</v>
      </c>
      <c r="M64" s="18" t="s">
        <v>1331</v>
      </c>
    </row>
    <row r="65" customFormat="false" ht="34.5" hidden="false" customHeight="true" outlineLevel="0" collapsed="false">
      <c r="A65" s="18" t="n">
        <v>70</v>
      </c>
      <c r="B65" s="18" t="s">
        <v>1332</v>
      </c>
      <c r="C65" s="18" t="s">
        <v>1320</v>
      </c>
      <c r="D65" s="18" t="s">
        <v>316</v>
      </c>
      <c r="E65" s="18" t="s">
        <v>333</v>
      </c>
      <c r="F65" s="18" t="s">
        <v>1217</v>
      </c>
      <c r="G65" s="18" t="s">
        <v>1148</v>
      </c>
      <c r="H65" s="23" t="s">
        <v>1050</v>
      </c>
      <c r="I65" s="23" t="s">
        <v>38</v>
      </c>
      <c r="J65" s="18" t="s">
        <v>1321</v>
      </c>
      <c r="K65" s="18" t="s">
        <v>1322</v>
      </c>
      <c r="L65" s="18" t="s">
        <v>1323</v>
      </c>
      <c r="M65" s="18" t="s">
        <v>1333</v>
      </c>
    </row>
    <row r="66" customFormat="false" ht="34.5" hidden="false" customHeight="true" outlineLevel="0" collapsed="false">
      <c r="A66" s="18" t="n">
        <v>71</v>
      </c>
      <c r="B66" s="18" t="s">
        <v>1334</v>
      </c>
      <c r="C66" s="18" t="s">
        <v>1320</v>
      </c>
      <c r="D66" s="18" t="s">
        <v>316</v>
      </c>
      <c r="E66" s="18" t="s">
        <v>351</v>
      </c>
      <c r="F66" s="18" t="s">
        <v>1217</v>
      </c>
      <c r="G66" s="18" t="s">
        <v>1148</v>
      </c>
      <c r="H66" s="23" t="s">
        <v>1050</v>
      </c>
      <c r="I66" s="23" t="s">
        <v>38</v>
      </c>
      <c r="J66" s="18" t="s">
        <v>1335</v>
      </c>
      <c r="K66" s="18" t="s">
        <v>1336</v>
      </c>
      <c r="L66" s="18" t="s">
        <v>1337</v>
      </c>
      <c r="M66" s="18" t="s">
        <v>1338</v>
      </c>
    </row>
    <row r="67" customFormat="false" ht="34.5" hidden="false" customHeight="true" outlineLevel="0" collapsed="false">
      <c r="A67" s="18" t="n">
        <v>72</v>
      </c>
      <c r="B67" s="18" t="s">
        <v>1339</v>
      </c>
      <c r="C67" s="18" t="s">
        <v>1320</v>
      </c>
      <c r="D67" s="18" t="s">
        <v>316</v>
      </c>
      <c r="E67" s="18" t="s">
        <v>351</v>
      </c>
      <c r="F67" s="18" t="s">
        <v>1217</v>
      </c>
      <c r="G67" s="18" t="s">
        <v>1148</v>
      </c>
      <c r="H67" s="27" t="s">
        <v>1057</v>
      </c>
      <c r="I67" s="23" t="s">
        <v>38</v>
      </c>
      <c r="J67" s="18" t="s">
        <v>1335</v>
      </c>
      <c r="K67" s="18" t="s">
        <v>1336</v>
      </c>
      <c r="L67" s="18" t="s">
        <v>1337</v>
      </c>
      <c r="M67" s="18" t="s">
        <v>1340</v>
      </c>
    </row>
    <row r="68" customFormat="false" ht="34.5" hidden="false" customHeight="true" outlineLevel="0" collapsed="false">
      <c r="A68" s="18" t="n">
        <v>73</v>
      </c>
      <c r="B68" s="18" t="s">
        <v>1341</v>
      </c>
      <c r="C68" s="18" t="s">
        <v>1320</v>
      </c>
      <c r="D68" s="18" t="s">
        <v>316</v>
      </c>
      <c r="E68" s="18" t="s">
        <v>351</v>
      </c>
      <c r="F68" s="18" t="s">
        <v>1217</v>
      </c>
      <c r="G68" s="18" t="s">
        <v>1148</v>
      </c>
      <c r="H68" s="23" t="s">
        <v>1050</v>
      </c>
      <c r="I68" s="23" t="s">
        <v>38</v>
      </c>
      <c r="J68" s="18" t="s">
        <v>1335</v>
      </c>
      <c r="K68" s="18" t="s">
        <v>1336</v>
      </c>
      <c r="L68" s="18" t="s">
        <v>1337</v>
      </c>
      <c r="M68" s="18" t="s">
        <v>1342</v>
      </c>
    </row>
    <row r="69" customFormat="false" ht="34.5" hidden="false" customHeight="true" outlineLevel="0" collapsed="false">
      <c r="A69" s="18" t="n">
        <v>74</v>
      </c>
      <c r="B69" s="18" t="s">
        <v>1343</v>
      </c>
      <c r="C69" s="18" t="s">
        <v>1307</v>
      </c>
      <c r="D69" s="18" t="s">
        <v>316</v>
      </c>
      <c r="E69" s="18" t="s">
        <v>360</v>
      </c>
      <c r="F69" s="18" t="s">
        <v>1125</v>
      </c>
      <c r="G69" s="18" t="s">
        <v>1148</v>
      </c>
      <c r="H69" s="23" t="s">
        <v>1050</v>
      </c>
      <c r="I69" s="23" t="s">
        <v>38</v>
      </c>
      <c r="J69" s="18" t="s">
        <v>1344</v>
      </c>
      <c r="K69" s="18" t="s">
        <v>1345</v>
      </c>
      <c r="L69" s="18" t="s">
        <v>1346</v>
      </c>
      <c r="M69" s="18" t="s">
        <v>1347</v>
      </c>
    </row>
    <row r="70" customFormat="false" ht="34.5" hidden="false" customHeight="true" outlineLevel="0" collapsed="false">
      <c r="A70" s="18" t="n">
        <v>75</v>
      </c>
      <c r="B70" s="18" t="s">
        <v>1348</v>
      </c>
      <c r="C70" s="18" t="s">
        <v>1307</v>
      </c>
      <c r="D70" s="18" t="s">
        <v>316</v>
      </c>
      <c r="E70" s="18" t="s">
        <v>338</v>
      </c>
      <c r="F70" s="18" t="s">
        <v>1125</v>
      </c>
      <c r="G70" s="18" t="s">
        <v>1148</v>
      </c>
      <c r="H70" s="23" t="s">
        <v>1050</v>
      </c>
      <c r="I70" s="23" t="s">
        <v>38</v>
      </c>
      <c r="J70" s="18" t="s">
        <v>1326</v>
      </c>
      <c r="K70" s="18" t="s">
        <v>1327</v>
      </c>
      <c r="L70" s="18" t="s">
        <v>1328</v>
      </c>
      <c r="M70" s="18" t="s">
        <v>1349</v>
      </c>
    </row>
    <row r="71" customFormat="false" ht="34.5" hidden="false" customHeight="true" outlineLevel="0" collapsed="false">
      <c r="A71" s="18" t="n">
        <v>76</v>
      </c>
      <c r="B71" s="18" t="s">
        <v>1350</v>
      </c>
      <c r="C71" s="18" t="s">
        <v>1307</v>
      </c>
      <c r="D71" s="18" t="s">
        <v>316</v>
      </c>
      <c r="E71" s="18" t="s">
        <v>368</v>
      </c>
      <c r="F71" s="18" t="s">
        <v>1125</v>
      </c>
      <c r="G71" s="18" t="s">
        <v>1148</v>
      </c>
      <c r="H71" s="23" t="s">
        <v>1050</v>
      </c>
      <c r="I71" s="24" t="s">
        <v>36</v>
      </c>
      <c r="J71" s="18" t="s">
        <v>1351</v>
      </c>
      <c r="K71" s="18" t="s">
        <v>1193</v>
      </c>
      <c r="L71" s="18" t="s">
        <v>1352</v>
      </c>
      <c r="M71" s="18" t="s">
        <v>1353</v>
      </c>
    </row>
    <row r="72" customFormat="false" ht="15" hidden="false" customHeight="true" outlineLevel="0" collapsed="false">
      <c r="A72" s="18" t="n">
        <v>77</v>
      </c>
      <c r="B72" s="18" t="s">
        <v>388</v>
      </c>
      <c r="C72" s="18" t="s">
        <v>1354</v>
      </c>
      <c r="D72" s="18" t="s">
        <v>372</v>
      </c>
      <c r="E72" s="18" t="s">
        <v>374</v>
      </c>
      <c r="F72" s="18" t="s">
        <v>1355</v>
      </c>
      <c r="G72" s="18" t="s">
        <v>1065</v>
      </c>
      <c r="H72" s="20" t="s">
        <v>1064</v>
      </c>
      <c r="I72" s="20" t="s">
        <v>34</v>
      </c>
      <c r="J72" s="18" t="s">
        <v>1111</v>
      </c>
      <c r="K72" s="18" t="s">
        <v>1356</v>
      </c>
      <c r="L72" s="18" t="s">
        <v>1071</v>
      </c>
      <c r="M72" s="18"/>
    </row>
    <row r="73" customFormat="false" ht="23.25" hidden="false" customHeight="true" outlineLevel="0" collapsed="false">
      <c r="A73" s="18" t="n">
        <v>78</v>
      </c>
      <c r="B73" s="18" t="s">
        <v>767</v>
      </c>
      <c r="C73" s="18" t="s">
        <v>1354</v>
      </c>
      <c r="D73" s="18" t="s">
        <v>372</v>
      </c>
      <c r="E73" s="18" t="s">
        <v>379</v>
      </c>
      <c r="F73" s="18" t="s">
        <v>1125</v>
      </c>
      <c r="G73" s="18" t="s">
        <v>1148</v>
      </c>
      <c r="H73" s="23" t="s">
        <v>1050</v>
      </c>
      <c r="I73" s="24" t="s">
        <v>36</v>
      </c>
      <c r="J73" s="18" t="s">
        <v>1357</v>
      </c>
      <c r="K73" s="18" t="s">
        <v>1358</v>
      </c>
      <c r="L73" s="18" t="s">
        <v>1071</v>
      </c>
      <c r="M73" s="18" t="s">
        <v>1359</v>
      </c>
    </row>
    <row r="74" customFormat="false" ht="45.75" hidden="false" customHeight="true" outlineLevel="0" collapsed="false">
      <c r="A74" s="18" t="n">
        <v>80</v>
      </c>
      <c r="B74" s="18" t="s">
        <v>895</v>
      </c>
      <c r="C74" s="18" t="s">
        <v>1360</v>
      </c>
      <c r="D74" s="18" t="s">
        <v>383</v>
      </c>
      <c r="E74" s="18" t="s">
        <v>385</v>
      </c>
      <c r="F74" s="18" t="s">
        <v>1125</v>
      </c>
      <c r="G74" s="18" t="s">
        <v>1148</v>
      </c>
      <c r="H74" s="23" t="s">
        <v>1050</v>
      </c>
      <c r="I74" s="24" t="s">
        <v>36</v>
      </c>
      <c r="J74" s="18" t="s">
        <v>1361</v>
      </c>
      <c r="K74" s="18" t="s">
        <v>1362</v>
      </c>
      <c r="L74" s="18" t="s">
        <v>1363</v>
      </c>
      <c r="M74" s="18" t="s">
        <v>1364</v>
      </c>
    </row>
    <row r="75" customFormat="false" ht="15" hidden="false" customHeight="true" outlineLevel="0" collapsed="false">
      <c r="A75" s="18" t="n">
        <v>82</v>
      </c>
      <c r="B75" s="18" t="s">
        <v>419</v>
      </c>
      <c r="C75" s="18" t="s">
        <v>1365</v>
      </c>
      <c r="D75" s="18" t="s">
        <v>389</v>
      </c>
      <c r="E75" s="18" t="s">
        <v>391</v>
      </c>
      <c r="F75" s="18" t="s">
        <v>1148</v>
      </c>
      <c r="G75" s="18" t="s">
        <v>1125</v>
      </c>
      <c r="H75" s="23" t="s">
        <v>1050</v>
      </c>
      <c r="I75" s="20" t="s">
        <v>34</v>
      </c>
      <c r="J75" s="18" t="s">
        <v>1366</v>
      </c>
      <c r="K75" s="18" t="s">
        <v>1367</v>
      </c>
      <c r="L75" s="18" t="s">
        <v>1368</v>
      </c>
      <c r="M75" s="18" t="s">
        <v>1369</v>
      </c>
    </row>
    <row r="76" customFormat="false" ht="23.25" hidden="false" customHeight="true" outlineLevel="0" collapsed="false">
      <c r="A76" s="18" t="n">
        <v>83</v>
      </c>
      <c r="B76" s="18" t="s">
        <v>1370</v>
      </c>
      <c r="C76" s="18" t="s">
        <v>1365</v>
      </c>
      <c r="D76" s="18" t="s">
        <v>389</v>
      </c>
      <c r="E76" s="18" t="s">
        <v>396</v>
      </c>
      <c r="F76" s="18" t="s">
        <v>1125</v>
      </c>
      <c r="G76" s="18" t="s">
        <v>1148</v>
      </c>
      <c r="H76" s="23" t="s">
        <v>1050</v>
      </c>
      <c r="I76" s="20" t="s">
        <v>34</v>
      </c>
      <c r="J76" s="18" t="s">
        <v>1371</v>
      </c>
      <c r="K76" s="18" t="s">
        <v>1372</v>
      </c>
      <c r="L76" s="18" t="s">
        <v>1373</v>
      </c>
      <c r="M76" s="18" t="s">
        <v>1374</v>
      </c>
    </row>
    <row r="77" customFormat="false" ht="23.25" hidden="false" customHeight="true" outlineLevel="0" collapsed="false">
      <c r="A77" s="18" t="n">
        <v>84</v>
      </c>
      <c r="B77" s="18" t="s">
        <v>1375</v>
      </c>
      <c r="C77" s="18" t="s">
        <v>1365</v>
      </c>
      <c r="D77" s="18" t="s">
        <v>389</v>
      </c>
      <c r="E77" s="18" t="s">
        <v>401</v>
      </c>
      <c r="F77" s="18" t="s">
        <v>1125</v>
      </c>
      <c r="G77" s="18" t="s">
        <v>1148</v>
      </c>
      <c r="H77" s="27" t="s">
        <v>1057</v>
      </c>
      <c r="I77" s="23" t="s">
        <v>38</v>
      </c>
      <c r="J77" s="18" t="s">
        <v>1376</v>
      </c>
      <c r="K77" s="18" t="s">
        <v>1377</v>
      </c>
      <c r="L77" s="18" t="s">
        <v>1378</v>
      </c>
      <c r="M77" s="18" t="s">
        <v>1379</v>
      </c>
    </row>
    <row r="78" customFormat="false" ht="15" hidden="false" customHeight="true" outlineLevel="0" collapsed="false">
      <c r="A78" s="18" t="n">
        <v>85</v>
      </c>
      <c r="B78" s="18" t="s">
        <v>451</v>
      </c>
      <c r="C78" s="18" t="s">
        <v>1365</v>
      </c>
      <c r="D78" s="18" t="s">
        <v>389</v>
      </c>
      <c r="E78" s="18" t="s">
        <v>406</v>
      </c>
      <c r="F78" s="18" t="s">
        <v>1148</v>
      </c>
      <c r="G78" s="18" t="s">
        <v>1125</v>
      </c>
      <c r="H78" s="27" t="s">
        <v>1057</v>
      </c>
      <c r="I78" s="23" t="s">
        <v>38</v>
      </c>
      <c r="J78" s="18" t="s">
        <v>1380</v>
      </c>
      <c r="K78" s="18" t="s">
        <v>1381</v>
      </c>
      <c r="L78" s="18" t="s">
        <v>1183</v>
      </c>
      <c r="M78" s="18" t="s">
        <v>1382</v>
      </c>
    </row>
    <row r="79" customFormat="false" ht="15" hidden="false" customHeight="true" outlineLevel="0" collapsed="false">
      <c r="A79" s="18" t="n">
        <v>86</v>
      </c>
      <c r="B79" s="18" t="s">
        <v>456</v>
      </c>
      <c r="C79" s="18" t="s">
        <v>1365</v>
      </c>
      <c r="D79" s="18" t="s">
        <v>389</v>
      </c>
      <c r="E79" s="18" t="s">
        <v>406</v>
      </c>
      <c r="F79" s="18" t="s">
        <v>1148</v>
      </c>
      <c r="G79" s="18" t="s">
        <v>1125</v>
      </c>
      <c r="H79" s="27" t="s">
        <v>1057</v>
      </c>
      <c r="I79" s="23" t="s">
        <v>38</v>
      </c>
      <c r="J79" s="18" t="s">
        <v>1380</v>
      </c>
      <c r="K79" s="18" t="s">
        <v>1381</v>
      </c>
      <c r="L79" s="18" t="s">
        <v>1183</v>
      </c>
      <c r="M79" s="18" t="s">
        <v>1382</v>
      </c>
    </row>
    <row r="80" customFormat="false" ht="15" hidden="false" customHeight="true" outlineLevel="0" collapsed="false">
      <c r="A80" s="18" t="n">
        <v>87</v>
      </c>
      <c r="B80" s="18" t="s">
        <v>460</v>
      </c>
      <c r="C80" s="18" t="s">
        <v>1365</v>
      </c>
      <c r="D80" s="18" t="s">
        <v>389</v>
      </c>
      <c r="E80" s="18" t="s">
        <v>406</v>
      </c>
      <c r="F80" s="18" t="s">
        <v>1148</v>
      </c>
      <c r="G80" s="18" t="s">
        <v>1125</v>
      </c>
      <c r="H80" s="27" t="s">
        <v>1057</v>
      </c>
      <c r="I80" s="23" t="s">
        <v>38</v>
      </c>
      <c r="J80" s="18" t="s">
        <v>1380</v>
      </c>
      <c r="K80" s="18" t="s">
        <v>1381</v>
      </c>
      <c r="L80" s="18" t="s">
        <v>1183</v>
      </c>
      <c r="M80" s="18" t="s">
        <v>1382</v>
      </c>
    </row>
    <row r="81" customFormat="false" ht="23.25" hidden="false" customHeight="true" outlineLevel="0" collapsed="false">
      <c r="A81" s="18" t="n">
        <v>89</v>
      </c>
      <c r="B81" s="18" t="s">
        <v>1383</v>
      </c>
      <c r="C81" s="18" t="s">
        <v>1384</v>
      </c>
      <c r="D81" s="18" t="s">
        <v>410</v>
      </c>
      <c r="E81" s="18" t="s">
        <v>412</v>
      </c>
      <c r="F81" s="18" t="s">
        <v>1385</v>
      </c>
      <c r="G81" s="18" t="s">
        <v>1386</v>
      </c>
      <c r="H81" s="23" t="s">
        <v>1387</v>
      </c>
      <c r="I81" s="24" t="s">
        <v>36</v>
      </c>
      <c r="J81" s="18" t="s">
        <v>1388</v>
      </c>
      <c r="K81" s="18" t="s">
        <v>1389</v>
      </c>
      <c r="L81" s="18" t="s">
        <v>1071</v>
      </c>
      <c r="M81" s="18" t="s">
        <v>1390</v>
      </c>
    </row>
    <row r="82" customFormat="false" ht="23.25" hidden="false" customHeight="true" outlineLevel="0" collapsed="false">
      <c r="A82" s="18" t="n">
        <v>90</v>
      </c>
      <c r="B82" s="18" t="s">
        <v>486</v>
      </c>
      <c r="C82" s="18" t="s">
        <v>1384</v>
      </c>
      <c r="D82" s="18" t="s">
        <v>410</v>
      </c>
      <c r="E82" s="18" t="s">
        <v>416</v>
      </c>
      <c r="F82" s="18" t="s">
        <v>1391</v>
      </c>
      <c r="G82" s="18" t="s">
        <v>1392</v>
      </c>
      <c r="H82" s="23" t="s">
        <v>1050</v>
      </c>
      <c r="I82" s="24" t="s">
        <v>36</v>
      </c>
      <c r="J82" s="18" t="s">
        <v>1393</v>
      </c>
      <c r="K82" s="18" t="s">
        <v>1394</v>
      </c>
      <c r="L82" s="18" t="s">
        <v>1395</v>
      </c>
      <c r="M82" s="18" t="s">
        <v>1396</v>
      </c>
    </row>
    <row r="83" customFormat="false" ht="15" hidden="false" customHeight="true" outlineLevel="0" collapsed="false">
      <c r="A83" s="18" t="n">
        <v>91</v>
      </c>
      <c r="B83" s="18" t="s">
        <v>1397</v>
      </c>
      <c r="C83" s="18" t="s">
        <v>1398</v>
      </c>
      <c r="D83" s="18" t="s">
        <v>410</v>
      </c>
      <c r="E83" s="18" t="s">
        <v>420</v>
      </c>
      <c r="F83" s="18" t="s">
        <v>1399</v>
      </c>
      <c r="G83" s="18" t="s">
        <v>1065</v>
      </c>
      <c r="H83" s="20" t="s">
        <v>1064</v>
      </c>
      <c r="I83" s="20" t="s">
        <v>34</v>
      </c>
      <c r="J83" s="18" t="s">
        <v>1065</v>
      </c>
      <c r="K83" s="18" t="s">
        <v>1400</v>
      </c>
      <c r="L83" s="18" t="s">
        <v>1071</v>
      </c>
      <c r="M83" s="18"/>
    </row>
    <row r="84" customFormat="false" ht="23.25" hidden="false" customHeight="true" outlineLevel="0" collapsed="false">
      <c r="A84" s="18" t="n">
        <v>92</v>
      </c>
      <c r="B84" s="18" t="s">
        <v>492</v>
      </c>
      <c r="C84" s="18" t="s">
        <v>1398</v>
      </c>
      <c r="D84" s="18" t="s">
        <v>410</v>
      </c>
      <c r="E84" s="18" t="s">
        <v>424</v>
      </c>
      <c r="F84" s="18" t="s">
        <v>1399</v>
      </c>
      <c r="G84" s="18" t="s">
        <v>1401</v>
      </c>
      <c r="H84" s="23" t="s">
        <v>1050</v>
      </c>
      <c r="I84" s="24" t="s">
        <v>36</v>
      </c>
      <c r="J84" s="18" t="s">
        <v>1402</v>
      </c>
      <c r="K84" s="18" t="s">
        <v>1403</v>
      </c>
      <c r="L84" s="18" t="s">
        <v>1071</v>
      </c>
      <c r="M84" s="18" t="s">
        <v>1404</v>
      </c>
    </row>
    <row r="85" customFormat="false" ht="23.25" hidden="false" customHeight="true" outlineLevel="0" collapsed="false">
      <c r="A85" s="18" t="n">
        <v>93</v>
      </c>
      <c r="B85" s="18" t="s">
        <v>1405</v>
      </c>
      <c r="C85" s="18" t="s">
        <v>1398</v>
      </c>
      <c r="D85" s="18" t="s">
        <v>410</v>
      </c>
      <c r="E85" s="18" t="s">
        <v>428</v>
      </c>
      <c r="F85" s="18" t="s">
        <v>1406</v>
      </c>
      <c r="G85" s="18" t="s">
        <v>1407</v>
      </c>
      <c r="H85" s="23" t="s">
        <v>1050</v>
      </c>
      <c r="I85" s="24" t="s">
        <v>36</v>
      </c>
      <c r="J85" s="18" t="s">
        <v>1408</v>
      </c>
      <c r="K85" s="18" t="s">
        <v>1409</v>
      </c>
      <c r="L85" s="18" t="s">
        <v>1410</v>
      </c>
      <c r="M85" s="18" t="s">
        <v>1411</v>
      </c>
    </row>
    <row r="86" customFormat="false" ht="15" hidden="false" customHeight="true" outlineLevel="0" collapsed="false">
      <c r="A86" s="18" t="n">
        <v>94</v>
      </c>
      <c r="B86" s="18" t="s">
        <v>1412</v>
      </c>
      <c r="C86" s="18" t="s">
        <v>1398</v>
      </c>
      <c r="D86" s="18" t="s">
        <v>410</v>
      </c>
      <c r="E86" s="18" t="s">
        <v>432</v>
      </c>
      <c r="F86" s="18" t="s">
        <v>1148</v>
      </c>
      <c r="G86" s="18" t="s">
        <v>1125</v>
      </c>
      <c r="H86" s="23" t="s">
        <v>1050</v>
      </c>
      <c r="I86" s="20" t="s">
        <v>34</v>
      </c>
      <c r="J86" s="18" t="s">
        <v>1413</v>
      </c>
      <c r="K86" s="18" t="s">
        <v>1414</v>
      </c>
      <c r="L86" s="18" t="s">
        <v>1071</v>
      </c>
      <c r="M86" s="18" t="s">
        <v>1415</v>
      </c>
    </row>
    <row r="87" customFormat="false" ht="23.25" hidden="false" customHeight="true" outlineLevel="0" collapsed="false">
      <c r="A87" s="18" t="n">
        <v>95</v>
      </c>
      <c r="B87" s="18" t="s">
        <v>1416</v>
      </c>
      <c r="C87" s="18" t="s">
        <v>1398</v>
      </c>
      <c r="D87" s="18" t="s">
        <v>410</v>
      </c>
      <c r="E87" s="18" t="s">
        <v>436</v>
      </c>
      <c r="F87" s="18" t="s">
        <v>1417</v>
      </c>
      <c r="G87" s="18" t="s">
        <v>1418</v>
      </c>
      <c r="H87" s="23" t="s">
        <v>1050</v>
      </c>
      <c r="I87" s="24" t="s">
        <v>36</v>
      </c>
      <c r="J87" s="18" t="s">
        <v>1419</v>
      </c>
      <c r="K87" s="18" t="s">
        <v>1420</v>
      </c>
      <c r="L87" s="18" t="s">
        <v>1071</v>
      </c>
      <c r="M87" s="18" t="s">
        <v>1421</v>
      </c>
    </row>
    <row r="88" customFormat="false" ht="15" hidden="false" customHeight="true" outlineLevel="0" collapsed="false">
      <c r="A88" s="18" t="n">
        <v>96</v>
      </c>
      <c r="B88" s="18" t="s">
        <v>1422</v>
      </c>
      <c r="C88" s="18" t="s">
        <v>1423</v>
      </c>
      <c r="D88" s="18" t="s">
        <v>410</v>
      </c>
      <c r="E88" s="18" t="s">
        <v>441</v>
      </c>
      <c r="F88" s="18" t="s">
        <v>1148</v>
      </c>
      <c r="G88" s="18" t="s">
        <v>1125</v>
      </c>
      <c r="H88" s="23" t="s">
        <v>1050</v>
      </c>
      <c r="I88" s="20" t="s">
        <v>34</v>
      </c>
      <c r="J88" s="18"/>
      <c r="K88" s="18" t="s">
        <v>1424</v>
      </c>
      <c r="L88" s="18" t="s">
        <v>1425</v>
      </c>
      <c r="M88" s="18" t="s">
        <v>1426</v>
      </c>
    </row>
    <row r="89" customFormat="false" ht="15" hidden="false" customHeight="true" outlineLevel="0" collapsed="false">
      <c r="A89" s="18" t="n">
        <v>97</v>
      </c>
      <c r="B89" s="18" t="s">
        <v>1427</v>
      </c>
      <c r="C89" s="18" t="s">
        <v>1423</v>
      </c>
      <c r="D89" s="18" t="s">
        <v>410</v>
      </c>
      <c r="E89" s="18" t="s">
        <v>441</v>
      </c>
      <c r="F89" s="18" t="s">
        <v>1428</v>
      </c>
      <c r="G89" s="18" t="s">
        <v>1125</v>
      </c>
      <c r="H89" s="20" t="s">
        <v>1064</v>
      </c>
      <c r="I89" s="20" t="s">
        <v>34</v>
      </c>
      <c r="J89" s="18"/>
      <c r="K89" s="18" t="s">
        <v>1287</v>
      </c>
      <c r="L89" s="18" t="s">
        <v>1071</v>
      </c>
      <c r="M89" s="18"/>
    </row>
    <row r="90" customFormat="false" ht="23.25" hidden="false" customHeight="true" outlineLevel="0" collapsed="false">
      <c r="A90" s="18" t="n">
        <v>98</v>
      </c>
      <c r="B90" s="18" t="s">
        <v>1429</v>
      </c>
      <c r="C90" s="18" t="s">
        <v>1423</v>
      </c>
      <c r="D90" s="18" t="s">
        <v>410</v>
      </c>
      <c r="E90" s="18" t="s">
        <v>448</v>
      </c>
      <c r="F90" s="18" t="s">
        <v>1125</v>
      </c>
      <c r="G90" s="18" t="s">
        <v>1430</v>
      </c>
      <c r="H90" s="23" t="s">
        <v>1050</v>
      </c>
      <c r="I90" s="23" t="s">
        <v>38</v>
      </c>
      <c r="J90" s="18" t="s">
        <v>1431</v>
      </c>
      <c r="K90" s="18" t="s">
        <v>1432</v>
      </c>
      <c r="L90" s="18" t="s">
        <v>1433</v>
      </c>
      <c r="M90" s="18" t="s">
        <v>1434</v>
      </c>
    </row>
    <row r="91" customFormat="false" ht="23.25" hidden="false" customHeight="true" outlineLevel="0" collapsed="false">
      <c r="A91" s="18" t="n">
        <v>99</v>
      </c>
      <c r="B91" s="18" t="s">
        <v>1435</v>
      </c>
      <c r="C91" s="18" t="s">
        <v>1423</v>
      </c>
      <c r="D91" s="18" t="s">
        <v>410</v>
      </c>
      <c r="E91" s="18" t="s">
        <v>452</v>
      </c>
      <c r="F91" s="18" t="s">
        <v>1125</v>
      </c>
      <c r="G91" s="18" t="s">
        <v>1436</v>
      </c>
      <c r="H91" s="23" t="s">
        <v>1050</v>
      </c>
      <c r="I91" s="24" t="s">
        <v>36</v>
      </c>
      <c r="J91" s="18" t="s">
        <v>1437</v>
      </c>
      <c r="K91" s="18" t="s">
        <v>1438</v>
      </c>
      <c r="L91" s="18" t="s">
        <v>1439</v>
      </c>
      <c r="M91" s="18" t="s">
        <v>1440</v>
      </c>
    </row>
    <row r="92" customFormat="false" ht="23.25" hidden="false" customHeight="true" outlineLevel="0" collapsed="false">
      <c r="A92" s="18" t="n">
        <v>100</v>
      </c>
      <c r="B92" s="18" t="s">
        <v>1441</v>
      </c>
      <c r="C92" s="18" t="s">
        <v>1423</v>
      </c>
      <c r="D92" s="18" t="s">
        <v>410</v>
      </c>
      <c r="E92" s="18" t="s">
        <v>452</v>
      </c>
      <c r="F92" s="18" t="s">
        <v>1125</v>
      </c>
      <c r="G92" s="18" t="s">
        <v>1442</v>
      </c>
      <c r="H92" s="23" t="s">
        <v>1050</v>
      </c>
      <c r="I92" s="24" t="s">
        <v>36</v>
      </c>
      <c r="J92" s="18" t="s">
        <v>1443</v>
      </c>
      <c r="K92" s="18" t="s">
        <v>1444</v>
      </c>
      <c r="L92" s="18" t="s">
        <v>1439</v>
      </c>
      <c r="M92" s="18" t="s">
        <v>1445</v>
      </c>
    </row>
    <row r="93" customFormat="false" ht="23.25" hidden="false" customHeight="true" outlineLevel="0" collapsed="false">
      <c r="A93" s="18" t="n">
        <v>101</v>
      </c>
      <c r="B93" s="18" t="s">
        <v>1446</v>
      </c>
      <c r="C93" s="18" t="s">
        <v>1423</v>
      </c>
      <c r="D93" s="18" t="s">
        <v>410</v>
      </c>
      <c r="E93" s="18" t="s">
        <v>453</v>
      </c>
      <c r="F93" s="18" t="s">
        <v>1125</v>
      </c>
      <c r="G93" s="18" t="s">
        <v>1447</v>
      </c>
      <c r="H93" s="27" t="s">
        <v>1057</v>
      </c>
      <c r="I93" s="23" t="s">
        <v>38</v>
      </c>
      <c r="J93" s="18" t="s">
        <v>1448</v>
      </c>
      <c r="K93" s="18" t="s">
        <v>1449</v>
      </c>
      <c r="L93" s="18" t="s">
        <v>1450</v>
      </c>
      <c r="M93" s="18" t="s">
        <v>1451</v>
      </c>
    </row>
    <row r="94" customFormat="false" ht="23.25" hidden="false" customHeight="true" outlineLevel="0" collapsed="false">
      <c r="A94" s="18" t="n">
        <v>102</v>
      </c>
      <c r="B94" s="18" t="s">
        <v>1452</v>
      </c>
      <c r="C94" s="18" t="s">
        <v>1423</v>
      </c>
      <c r="D94" s="18" t="s">
        <v>410</v>
      </c>
      <c r="E94" s="18" t="s">
        <v>457</v>
      </c>
      <c r="F94" s="18" t="s">
        <v>1453</v>
      </c>
      <c r="G94" s="18" t="s">
        <v>1073</v>
      </c>
      <c r="H94" s="23" t="s">
        <v>1050</v>
      </c>
      <c r="I94" s="24" t="s">
        <v>36</v>
      </c>
      <c r="J94" s="18" t="s">
        <v>1454</v>
      </c>
      <c r="K94" s="18" t="s">
        <v>1455</v>
      </c>
      <c r="L94" s="18" t="s">
        <v>1071</v>
      </c>
      <c r="M94" s="18" t="s">
        <v>1456</v>
      </c>
    </row>
    <row r="95" customFormat="false" ht="23.25" hidden="false" customHeight="true" outlineLevel="0" collapsed="false">
      <c r="A95" s="18" t="n">
        <v>103</v>
      </c>
      <c r="B95" s="18" t="s">
        <v>1457</v>
      </c>
      <c r="C95" s="18" t="s">
        <v>1423</v>
      </c>
      <c r="D95" s="18" t="s">
        <v>410</v>
      </c>
      <c r="E95" s="18" t="s">
        <v>461</v>
      </c>
      <c r="F95" s="18" t="s">
        <v>1453</v>
      </c>
      <c r="G95" s="18" t="s">
        <v>1073</v>
      </c>
      <c r="H95" s="23" t="s">
        <v>1050</v>
      </c>
      <c r="I95" s="24" t="s">
        <v>36</v>
      </c>
      <c r="J95" s="18" t="s">
        <v>1458</v>
      </c>
      <c r="K95" s="18" t="s">
        <v>1455</v>
      </c>
      <c r="L95" s="18" t="s">
        <v>1071</v>
      </c>
      <c r="M95" s="18" t="s">
        <v>1459</v>
      </c>
    </row>
    <row r="96" customFormat="false" ht="15" hidden="false" customHeight="true" outlineLevel="0" collapsed="false">
      <c r="A96" s="18" t="n">
        <v>104</v>
      </c>
      <c r="B96" s="18" t="s">
        <v>1460</v>
      </c>
      <c r="C96" s="18" t="s">
        <v>1423</v>
      </c>
      <c r="D96" s="18" t="s">
        <v>410</v>
      </c>
      <c r="E96" s="18" t="s">
        <v>465</v>
      </c>
      <c r="F96" s="18" t="s">
        <v>1453</v>
      </c>
      <c r="G96" s="18" t="s">
        <v>1073</v>
      </c>
      <c r="H96" s="20" t="s">
        <v>1064</v>
      </c>
      <c r="I96" s="20" t="s">
        <v>34</v>
      </c>
      <c r="J96" s="18"/>
      <c r="K96" s="18" t="s">
        <v>1461</v>
      </c>
      <c r="L96" s="18" t="s">
        <v>1071</v>
      </c>
      <c r="M96" s="18"/>
    </row>
    <row r="97" customFormat="false" ht="34.5" hidden="false" customHeight="true" outlineLevel="0" collapsed="false">
      <c r="A97" s="18" t="n">
        <v>105</v>
      </c>
      <c r="B97" s="18" t="s">
        <v>1462</v>
      </c>
      <c r="C97" s="18" t="s">
        <v>1423</v>
      </c>
      <c r="D97" s="18" t="s">
        <v>410</v>
      </c>
      <c r="E97" s="18" t="s">
        <v>469</v>
      </c>
      <c r="F97" s="18" t="s">
        <v>1125</v>
      </c>
      <c r="G97" s="18" t="s">
        <v>1148</v>
      </c>
      <c r="H97" s="27" t="s">
        <v>1057</v>
      </c>
      <c r="I97" s="23" t="s">
        <v>38</v>
      </c>
      <c r="J97" s="18" t="s">
        <v>1463</v>
      </c>
      <c r="K97" s="18" t="s">
        <v>1464</v>
      </c>
      <c r="L97" s="18" t="s">
        <v>1465</v>
      </c>
      <c r="M97" s="18" t="s">
        <v>1466</v>
      </c>
    </row>
    <row r="98" customFormat="false" ht="23.25" hidden="false" customHeight="true" outlineLevel="0" collapsed="false">
      <c r="A98" s="18" t="n">
        <v>106</v>
      </c>
      <c r="B98" s="18" t="s">
        <v>1467</v>
      </c>
      <c r="C98" s="18" t="s">
        <v>1468</v>
      </c>
      <c r="D98" s="18" t="s">
        <v>410</v>
      </c>
      <c r="E98" s="18" t="s">
        <v>474</v>
      </c>
      <c r="F98" s="18" t="s">
        <v>1469</v>
      </c>
      <c r="G98" s="18" t="s">
        <v>1470</v>
      </c>
      <c r="H98" s="20" t="s">
        <v>1064</v>
      </c>
      <c r="I98" s="20" t="s">
        <v>34</v>
      </c>
      <c r="J98" s="18" t="s">
        <v>1471</v>
      </c>
      <c r="K98" s="18" t="s">
        <v>1472</v>
      </c>
      <c r="L98" s="18" t="s">
        <v>1071</v>
      </c>
      <c r="M98" s="18" t="s">
        <v>1473</v>
      </c>
    </row>
    <row r="99" customFormat="false" ht="23.25" hidden="false" customHeight="true" outlineLevel="0" collapsed="false">
      <c r="A99" s="18" t="n">
        <v>107</v>
      </c>
      <c r="B99" s="18" t="s">
        <v>1474</v>
      </c>
      <c r="C99" s="18" t="s">
        <v>1468</v>
      </c>
      <c r="D99" s="18" t="s">
        <v>410</v>
      </c>
      <c r="E99" s="18" t="s">
        <v>478</v>
      </c>
      <c r="F99" s="18" t="s">
        <v>1469</v>
      </c>
      <c r="G99" s="18" t="s">
        <v>1470</v>
      </c>
      <c r="H99" s="20" t="s">
        <v>1064</v>
      </c>
      <c r="I99" s="20" t="s">
        <v>34</v>
      </c>
      <c r="J99" s="18" t="s">
        <v>1471</v>
      </c>
      <c r="K99" s="18" t="s">
        <v>1472</v>
      </c>
      <c r="L99" s="18" t="s">
        <v>1071</v>
      </c>
      <c r="M99" s="18" t="s">
        <v>1475</v>
      </c>
    </row>
    <row r="100" customFormat="false" ht="23.25" hidden="false" customHeight="true" outlineLevel="0" collapsed="false">
      <c r="A100" s="18" t="n">
        <v>108</v>
      </c>
      <c r="B100" s="18" t="s">
        <v>1476</v>
      </c>
      <c r="C100" s="18" t="s">
        <v>1468</v>
      </c>
      <c r="D100" s="18" t="s">
        <v>410</v>
      </c>
      <c r="E100" s="18" t="s">
        <v>483</v>
      </c>
      <c r="F100" s="18" t="s">
        <v>1469</v>
      </c>
      <c r="G100" s="18" t="s">
        <v>1470</v>
      </c>
      <c r="H100" s="20" t="s">
        <v>1064</v>
      </c>
      <c r="I100" s="20" t="s">
        <v>34</v>
      </c>
      <c r="J100" s="18" t="s">
        <v>1471</v>
      </c>
      <c r="K100" s="18" t="s">
        <v>1472</v>
      </c>
      <c r="L100" s="18" t="s">
        <v>1071</v>
      </c>
      <c r="M100" s="18" t="s">
        <v>1477</v>
      </c>
    </row>
    <row r="101" customFormat="false" ht="23.25" hidden="false" customHeight="true" outlineLevel="0" collapsed="false">
      <c r="A101" s="18" t="n">
        <v>109</v>
      </c>
      <c r="B101" s="18" t="s">
        <v>1478</v>
      </c>
      <c r="C101" s="18" t="s">
        <v>1468</v>
      </c>
      <c r="D101" s="18" t="s">
        <v>410</v>
      </c>
      <c r="E101" s="18" t="s">
        <v>487</v>
      </c>
      <c r="F101" s="18" t="s">
        <v>1469</v>
      </c>
      <c r="G101" s="18" t="s">
        <v>1470</v>
      </c>
      <c r="H101" s="20" t="s">
        <v>1064</v>
      </c>
      <c r="I101" s="20" t="s">
        <v>34</v>
      </c>
      <c r="J101" s="18" t="s">
        <v>1471</v>
      </c>
      <c r="K101" s="18" t="s">
        <v>1472</v>
      </c>
      <c r="L101" s="18" t="s">
        <v>1071</v>
      </c>
      <c r="M101" s="18" t="s">
        <v>1479</v>
      </c>
    </row>
    <row r="102" customFormat="false" ht="23.25" hidden="false" customHeight="true" outlineLevel="0" collapsed="false">
      <c r="A102" s="18" t="n">
        <v>110</v>
      </c>
      <c r="B102" s="18" t="s">
        <v>1480</v>
      </c>
      <c r="C102" s="18" t="s">
        <v>1468</v>
      </c>
      <c r="D102" s="18" t="s">
        <v>410</v>
      </c>
      <c r="E102" s="18" t="s">
        <v>489</v>
      </c>
      <c r="F102" s="18" t="s">
        <v>1469</v>
      </c>
      <c r="G102" s="18" t="s">
        <v>1470</v>
      </c>
      <c r="H102" s="20" t="s">
        <v>1064</v>
      </c>
      <c r="I102" s="20" t="s">
        <v>34</v>
      </c>
      <c r="J102" s="18" t="s">
        <v>1471</v>
      </c>
      <c r="K102" s="18" t="s">
        <v>1472</v>
      </c>
      <c r="L102" s="18" t="s">
        <v>1071</v>
      </c>
      <c r="M102" s="18"/>
    </row>
    <row r="103" customFormat="false" ht="23.25" hidden="false" customHeight="true" outlineLevel="0" collapsed="false">
      <c r="A103" s="18" t="n">
        <v>111</v>
      </c>
      <c r="B103" s="18" t="s">
        <v>1481</v>
      </c>
      <c r="C103" s="18" t="s">
        <v>1468</v>
      </c>
      <c r="D103" s="18" t="s">
        <v>410</v>
      </c>
      <c r="E103" s="18" t="s">
        <v>493</v>
      </c>
      <c r="F103" s="18" t="s">
        <v>1469</v>
      </c>
      <c r="G103" s="18" t="s">
        <v>1470</v>
      </c>
      <c r="H103" s="20" t="s">
        <v>1064</v>
      </c>
      <c r="I103" s="20" t="s">
        <v>34</v>
      </c>
      <c r="J103" s="18" t="s">
        <v>1471</v>
      </c>
      <c r="K103" s="18" t="s">
        <v>1472</v>
      </c>
      <c r="L103" s="18" t="s">
        <v>1071</v>
      </c>
      <c r="M103" s="18"/>
    </row>
    <row r="104" customFormat="false" ht="23.25" hidden="false" customHeight="true" outlineLevel="0" collapsed="false">
      <c r="A104" s="18" t="n">
        <v>112</v>
      </c>
      <c r="B104" s="18" t="s">
        <v>501</v>
      </c>
      <c r="C104" s="18" t="s">
        <v>1482</v>
      </c>
      <c r="D104" s="18" t="s">
        <v>496</v>
      </c>
      <c r="E104" s="18" t="s">
        <v>498</v>
      </c>
      <c r="F104" s="18" t="s">
        <v>1125</v>
      </c>
      <c r="G104" s="18" t="s">
        <v>1148</v>
      </c>
      <c r="H104" s="23" t="s">
        <v>1050</v>
      </c>
      <c r="I104" s="20" t="s">
        <v>34</v>
      </c>
      <c r="J104" s="18" t="s">
        <v>1483</v>
      </c>
      <c r="K104" s="18" t="s">
        <v>1484</v>
      </c>
      <c r="L104" s="18" t="s">
        <v>1071</v>
      </c>
      <c r="M104" s="18" t="s">
        <v>1485</v>
      </c>
    </row>
    <row r="105" customFormat="false" ht="23.25" hidden="false" customHeight="true" outlineLevel="0" collapsed="false">
      <c r="A105" s="18" t="n">
        <v>113</v>
      </c>
      <c r="B105" s="18" t="s">
        <v>507</v>
      </c>
      <c r="C105" s="18" t="s">
        <v>1482</v>
      </c>
      <c r="D105" s="18" t="s">
        <v>496</v>
      </c>
      <c r="E105" s="18" t="s">
        <v>504</v>
      </c>
      <c r="F105" s="18" t="s">
        <v>1125</v>
      </c>
      <c r="G105" s="18" t="s">
        <v>1148</v>
      </c>
      <c r="H105" s="20" t="s">
        <v>1064</v>
      </c>
      <c r="I105" s="20" t="s">
        <v>34</v>
      </c>
      <c r="J105" s="18" t="s">
        <v>1486</v>
      </c>
      <c r="K105" s="18" t="s">
        <v>1487</v>
      </c>
      <c r="L105" s="18" t="s">
        <v>1071</v>
      </c>
      <c r="M105" s="18"/>
    </row>
    <row r="106" customFormat="false" ht="23.25" hidden="false" customHeight="true" outlineLevel="0" collapsed="false">
      <c r="A106" s="18" t="n">
        <v>114</v>
      </c>
      <c r="B106" s="18" t="s">
        <v>512</v>
      </c>
      <c r="C106" s="18" t="s">
        <v>1482</v>
      </c>
      <c r="D106" s="18" t="s">
        <v>496</v>
      </c>
      <c r="E106" s="18" t="s">
        <v>509</v>
      </c>
      <c r="F106" s="18" t="s">
        <v>1488</v>
      </c>
      <c r="G106" s="18" t="s">
        <v>1125</v>
      </c>
      <c r="H106" s="27" t="s">
        <v>1057</v>
      </c>
      <c r="I106" s="23" t="s">
        <v>38</v>
      </c>
      <c r="J106" s="18" t="s">
        <v>1489</v>
      </c>
      <c r="K106" s="18" t="s">
        <v>1490</v>
      </c>
      <c r="L106" s="18" t="s">
        <v>1491</v>
      </c>
      <c r="M106" s="18" t="s">
        <v>1492</v>
      </c>
    </row>
    <row r="107" customFormat="false" ht="23.25" hidden="false" customHeight="true" outlineLevel="0" collapsed="false">
      <c r="A107" s="18" t="n">
        <v>115</v>
      </c>
      <c r="B107" s="18" t="s">
        <v>1493</v>
      </c>
      <c r="C107" s="18" t="s">
        <v>1482</v>
      </c>
      <c r="D107" s="18" t="s">
        <v>496</v>
      </c>
      <c r="E107" s="18" t="s">
        <v>514</v>
      </c>
      <c r="F107" s="18" t="s">
        <v>1148</v>
      </c>
      <c r="G107" s="18" t="s">
        <v>1125</v>
      </c>
      <c r="H107" s="23" t="s">
        <v>1050</v>
      </c>
      <c r="I107" s="20" t="s">
        <v>34</v>
      </c>
      <c r="J107" s="18"/>
      <c r="K107" s="18" t="s">
        <v>1494</v>
      </c>
      <c r="L107" s="18" t="s">
        <v>1495</v>
      </c>
      <c r="M107" s="18" t="s">
        <v>1496</v>
      </c>
    </row>
    <row r="108" customFormat="false" ht="23.25" hidden="false" customHeight="true" outlineLevel="0" collapsed="false">
      <c r="A108" s="18" t="n">
        <v>116</v>
      </c>
      <c r="B108" s="18" t="s">
        <v>1497</v>
      </c>
      <c r="C108" s="18" t="s">
        <v>1482</v>
      </c>
      <c r="D108" s="18" t="s">
        <v>496</v>
      </c>
      <c r="E108" s="18" t="s">
        <v>514</v>
      </c>
      <c r="F108" s="18" t="s">
        <v>1148</v>
      </c>
      <c r="G108" s="18" t="s">
        <v>1125</v>
      </c>
      <c r="H108" s="23" t="s">
        <v>1050</v>
      </c>
      <c r="I108" s="20" t="s">
        <v>34</v>
      </c>
      <c r="J108" s="18"/>
      <c r="K108" s="18" t="s">
        <v>1494</v>
      </c>
      <c r="L108" s="18" t="s">
        <v>1495</v>
      </c>
      <c r="M108" s="18" t="s">
        <v>1496</v>
      </c>
    </row>
    <row r="109" customFormat="false" ht="23.25" hidden="false" customHeight="true" outlineLevel="0" collapsed="false">
      <c r="A109" s="18" t="n">
        <v>117</v>
      </c>
      <c r="B109" s="18" t="s">
        <v>1498</v>
      </c>
      <c r="C109" s="18" t="s">
        <v>1482</v>
      </c>
      <c r="D109" s="18" t="s">
        <v>496</v>
      </c>
      <c r="E109" s="18" t="s">
        <v>514</v>
      </c>
      <c r="F109" s="18" t="s">
        <v>1148</v>
      </c>
      <c r="G109" s="18" t="s">
        <v>1125</v>
      </c>
      <c r="H109" s="23" t="s">
        <v>1050</v>
      </c>
      <c r="I109" s="20" t="s">
        <v>34</v>
      </c>
      <c r="J109" s="18"/>
      <c r="K109" s="18" t="s">
        <v>1494</v>
      </c>
      <c r="L109" s="18" t="s">
        <v>1495</v>
      </c>
      <c r="M109" s="18" t="s">
        <v>1496</v>
      </c>
    </row>
    <row r="110" customFormat="false" ht="23.25" hidden="false" customHeight="true" outlineLevel="0" collapsed="false">
      <c r="A110" s="18" t="n">
        <v>118</v>
      </c>
      <c r="B110" s="18" t="s">
        <v>1499</v>
      </c>
      <c r="C110" s="18" t="s">
        <v>1482</v>
      </c>
      <c r="D110" s="18" t="s">
        <v>496</v>
      </c>
      <c r="E110" s="18" t="s">
        <v>514</v>
      </c>
      <c r="F110" s="18" t="s">
        <v>1148</v>
      </c>
      <c r="G110" s="18" t="s">
        <v>1125</v>
      </c>
      <c r="H110" s="23" t="s">
        <v>1050</v>
      </c>
      <c r="I110" s="20" t="s">
        <v>34</v>
      </c>
      <c r="J110" s="18"/>
      <c r="K110" s="18" t="s">
        <v>1494</v>
      </c>
      <c r="L110" s="18" t="s">
        <v>1495</v>
      </c>
      <c r="M110" s="18" t="s">
        <v>1496</v>
      </c>
    </row>
    <row r="111" customFormat="false" ht="23.25" hidden="false" customHeight="true" outlineLevel="0" collapsed="false">
      <c r="A111" s="18" t="n">
        <v>120</v>
      </c>
      <c r="B111" s="18" t="s">
        <v>1500</v>
      </c>
      <c r="C111" s="18" t="s">
        <v>1501</v>
      </c>
      <c r="D111" s="18" t="s">
        <v>527</v>
      </c>
      <c r="E111" s="18" t="s">
        <v>529</v>
      </c>
      <c r="F111" s="18" t="s">
        <v>1502</v>
      </c>
      <c r="G111" s="18" t="s">
        <v>1503</v>
      </c>
      <c r="H111" s="23" t="s">
        <v>1050</v>
      </c>
      <c r="I111" s="20" t="s">
        <v>34</v>
      </c>
      <c r="J111" s="18" t="s">
        <v>1504</v>
      </c>
      <c r="K111" s="18" t="s">
        <v>1505</v>
      </c>
      <c r="L111" s="18" t="s">
        <v>1506</v>
      </c>
      <c r="M111" s="18" t="s">
        <v>1507</v>
      </c>
    </row>
    <row r="112" customFormat="false" ht="23.25" hidden="false" customHeight="true" outlineLevel="0" collapsed="false">
      <c r="A112" s="18" t="n">
        <v>121</v>
      </c>
      <c r="B112" s="18" t="s">
        <v>1508</v>
      </c>
      <c r="C112" s="18" t="s">
        <v>1501</v>
      </c>
      <c r="D112" s="18" t="s">
        <v>527</v>
      </c>
      <c r="E112" s="18" t="s">
        <v>531</v>
      </c>
      <c r="F112" s="18" t="s">
        <v>1502</v>
      </c>
      <c r="G112" s="18" t="s">
        <v>1503</v>
      </c>
      <c r="H112" s="23" t="s">
        <v>1050</v>
      </c>
      <c r="I112" s="20" t="s">
        <v>34</v>
      </c>
      <c r="J112" s="18" t="s">
        <v>1504</v>
      </c>
      <c r="K112" s="18" t="s">
        <v>1505</v>
      </c>
      <c r="L112" s="18" t="s">
        <v>1506</v>
      </c>
      <c r="M112" s="18" t="s">
        <v>1507</v>
      </c>
    </row>
    <row r="113" customFormat="false" ht="23.25" hidden="false" customHeight="true" outlineLevel="0" collapsed="false">
      <c r="A113" s="18" t="n">
        <v>122</v>
      </c>
      <c r="B113" s="18" t="s">
        <v>1509</v>
      </c>
      <c r="C113" s="18" t="s">
        <v>1501</v>
      </c>
      <c r="D113" s="18" t="s">
        <v>527</v>
      </c>
      <c r="E113" s="18" t="s">
        <v>533</v>
      </c>
      <c r="F113" s="18" t="s">
        <v>1502</v>
      </c>
      <c r="G113" s="18" t="s">
        <v>1503</v>
      </c>
      <c r="H113" s="23" t="s">
        <v>1050</v>
      </c>
      <c r="I113" s="20" t="s">
        <v>34</v>
      </c>
      <c r="J113" s="18" t="s">
        <v>1504</v>
      </c>
      <c r="K113" s="18" t="s">
        <v>1505</v>
      </c>
      <c r="L113" s="18" t="s">
        <v>1506</v>
      </c>
      <c r="M113" s="18" t="s">
        <v>1507</v>
      </c>
    </row>
    <row r="114" customFormat="false" ht="23.25" hidden="false" customHeight="true" outlineLevel="0" collapsed="false">
      <c r="A114" s="18" t="n">
        <v>123</v>
      </c>
      <c r="B114" s="18" t="s">
        <v>1510</v>
      </c>
      <c r="C114" s="18" t="s">
        <v>1501</v>
      </c>
      <c r="D114" s="18" t="s">
        <v>527</v>
      </c>
      <c r="E114" s="18" t="s">
        <v>535</v>
      </c>
      <c r="F114" s="18" t="s">
        <v>1502</v>
      </c>
      <c r="G114" s="18" t="s">
        <v>1503</v>
      </c>
      <c r="H114" s="23" t="s">
        <v>1050</v>
      </c>
      <c r="I114" s="20" t="s">
        <v>34</v>
      </c>
      <c r="J114" s="18" t="s">
        <v>1504</v>
      </c>
      <c r="K114" s="18" t="s">
        <v>1505</v>
      </c>
      <c r="L114" s="18" t="s">
        <v>1506</v>
      </c>
      <c r="M114" s="18" t="s">
        <v>1507</v>
      </c>
    </row>
    <row r="115" customFormat="false" ht="23.25" hidden="false" customHeight="true" outlineLevel="0" collapsed="false">
      <c r="A115" s="18" t="n">
        <v>124</v>
      </c>
      <c r="B115" s="18" t="s">
        <v>1511</v>
      </c>
      <c r="C115" s="18" t="s">
        <v>1501</v>
      </c>
      <c r="D115" s="18" t="s">
        <v>527</v>
      </c>
      <c r="E115" s="18" t="s">
        <v>537</v>
      </c>
      <c r="F115" s="18" t="s">
        <v>1502</v>
      </c>
      <c r="G115" s="18" t="s">
        <v>1503</v>
      </c>
      <c r="H115" s="23" t="s">
        <v>1050</v>
      </c>
      <c r="I115" s="20" t="s">
        <v>34</v>
      </c>
      <c r="J115" s="18" t="s">
        <v>1504</v>
      </c>
      <c r="K115" s="18" t="s">
        <v>1505</v>
      </c>
      <c r="L115" s="18" t="s">
        <v>1506</v>
      </c>
      <c r="M115" s="18" t="s">
        <v>1507</v>
      </c>
    </row>
    <row r="116" customFormat="false" ht="23.25" hidden="false" customHeight="true" outlineLevel="0" collapsed="false">
      <c r="A116" s="18" t="n">
        <v>125</v>
      </c>
      <c r="B116" s="18" t="s">
        <v>1512</v>
      </c>
      <c r="C116" s="18" t="s">
        <v>1501</v>
      </c>
      <c r="D116" s="18" t="s">
        <v>527</v>
      </c>
      <c r="E116" s="18" t="s">
        <v>539</v>
      </c>
      <c r="F116" s="18" t="s">
        <v>1502</v>
      </c>
      <c r="G116" s="18" t="s">
        <v>1503</v>
      </c>
      <c r="H116" s="23" t="s">
        <v>1050</v>
      </c>
      <c r="I116" s="20" t="s">
        <v>34</v>
      </c>
      <c r="J116" s="18" t="s">
        <v>1504</v>
      </c>
      <c r="K116" s="18" t="s">
        <v>1505</v>
      </c>
      <c r="L116" s="18" t="s">
        <v>1506</v>
      </c>
      <c r="M116" s="18" t="s">
        <v>1507</v>
      </c>
    </row>
    <row r="117" customFormat="false" ht="23.25" hidden="false" customHeight="true" outlineLevel="0" collapsed="false">
      <c r="A117" s="18" t="n">
        <v>126</v>
      </c>
      <c r="B117" s="18" t="s">
        <v>1513</v>
      </c>
      <c r="C117" s="18" t="s">
        <v>1501</v>
      </c>
      <c r="D117" s="18" t="s">
        <v>527</v>
      </c>
      <c r="E117" s="18" t="s">
        <v>541</v>
      </c>
      <c r="F117" s="18" t="s">
        <v>1502</v>
      </c>
      <c r="G117" s="18" t="s">
        <v>1503</v>
      </c>
      <c r="H117" s="23" t="s">
        <v>1050</v>
      </c>
      <c r="I117" s="20" t="s">
        <v>34</v>
      </c>
      <c r="J117" s="18" t="s">
        <v>1504</v>
      </c>
      <c r="K117" s="18" t="s">
        <v>1505</v>
      </c>
      <c r="L117" s="18" t="s">
        <v>1506</v>
      </c>
      <c r="M117" s="18" t="s">
        <v>1507</v>
      </c>
    </row>
    <row r="118" customFormat="false" ht="23.25" hidden="false" customHeight="true" outlineLevel="0" collapsed="false">
      <c r="A118" s="18" t="n">
        <v>127</v>
      </c>
      <c r="B118" s="18" t="s">
        <v>1514</v>
      </c>
      <c r="C118" s="18" t="s">
        <v>1501</v>
      </c>
      <c r="D118" s="18" t="s">
        <v>527</v>
      </c>
      <c r="E118" s="18" t="s">
        <v>544</v>
      </c>
      <c r="F118" s="18" t="s">
        <v>1502</v>
      </c>
      <c r="G118" s="18" t="s">
        <v>1503</v>
      </c>
      <c r="H118" s="23" t="s">
        <v>1050</v>
      </c>
      <c r="I118" s="20" t="s">
        <v>34</v>
      </c>
      <c r="J118" s="18" t="s">
        <v>1504</v>
      </c>
      <c r="K118" s="18" t="s">
        <v>1505</v>
      </c>
      <c r="L118" s="18" t="s">
        <v>1506</v>
      </c>
      <c r="M118" s="18" t="s">
        <v>1507</v>
      </c>
    </row>
    <row r="119" customFormat="false" ht="23.25" hidden="false" customHeight="true" outlineLevel="0" collapsed="false">
      <c r="A119" s="18" t="n">
        <v>128</v>
      </c>
      <c r="B119" s="18" t="s">
        <v>1515</v>
      </c>
      <c r="C119" s="18" t="s">
        <v>1501</v>
      </c>
      <c r="D119" s="18" t="s">
        <v>527</v>
      </c>
      <c r="E119" s="18" t="s">
        <v>547</v>
      </c>
      <c r="F119" s="18" t="s">
        <v>1502</v>
      </c>
      <c r="G119" s="18" t="s">
        <v>1503</v>
      </c>
      <c r="H119" s="23" t="s">
        <v>1050</v>
      </c>
      <c r="I119" s="20" t="s">
        <v>34</v>
      </c>
      <c r="J119" s="18" t="s">
        <v>1504</v>
      </c>
      <c r="K119" s="18" t="s">
        <v>1505</v>
      </c>
      <c r="L119" s="18" t="s">
        <v>1506</v>
      </c>
      <c r="M119" s="18" t="s">
        <v>1507</v>
      </c>
    </row>
    <row r="120" customFormat="false" ht="23.25" hidden="false" customHeight="true" outlineLevel="0" collapsed="false">
      <c r="A120" s="18" t="n">
        <v>129</v>
      </c>
      <c r="B120" s="18" t="s">
        <v>1516</v>
      </c>
      <c r="C120" s="18" t="s">
        <v>1501</v>
      </c>
      <c r="D120" s="18" t="s">
        <v>527</v>
      </c>
      <c r="E120" s="18" t="s">
        <v>550</v>
      </c>
      <c r="F120" s="18" t="s">
        <v>1502</v>
      </c>
      <c r="G120" s="18" t="s">
        <v>1503</v>
      </c>
      <c r="H120" s="23" t="s">
        <v>1050</v>
      </c>
      <c r="I120" s="20" t="s">
        <v>34</v>
      </c>
      <c r="J120" s="18" t="s">
        <v>1504</v>
      </c>
      <c r="K120" s="18" t="s">
        <v>1505</v>
      </c>
      <c r="L120" s="18" t="s">
        <v>1506</v>
      </c>
      <c r="M120" s="18" t="s">
        <v>1507</v>
      </c>
    </row>
    <row r="121" customFormat="false" ht="23.25" hidden="false" customHeight="true" outlineLevel="0" collapsed="false">
      <c r="A121" s="18" t="n">
        <v>130</v>
      </c>
      <c r="B121" s="18" t="s">
        <v>1517</v>
      </c>
      <c r="C121" s="18" t="s">
        <v>1501</v>
      </c>
      <c r="D121" s="18" t="s">
        <v>527</v>
      </c>
      <c r="E121" s="18" t="s">
        <v>553</v>
      </c>
      <c r="F121" s="18" t="s">
        <v>1502</v>
      </c>
      <c r="G121" s="18" t="s">
        <v>1503</v>
      </c>
      <c r="H121" s="23" t="s">
        <v>1050</v>
      </c>
      <c r="I121" s="20" t="s">
        <v>34</v>
      </c>
      <c r="J121" s="18" t="s">
        <v>1504</v>
      </c>
      <c r="K121" s="18" t="s">
        <v>1505</v>
      </c>
      <c r="L121" s="18" t="s">
        <v>1506</v>
      </c>
      <c r="M121" s="18" t="s">
        <v>1507</v>
      </c>
    </row>
    <row r="122" customFormat="false" ht="23.25" hidden="false" customHeight="true" outlineLevel="0" collapsed="false">
      <c r="A122" s="18" t="n">
        <v>131</v>
      </c>
      <c r="B122" s="18" t="s">
        <v>1518</v>
      </c>
      <c r="C122" s="18" t="s">
        <v>1501</v>
      </c>
      <c r="D122" s="18" t="s">
        <v>527</v>
      </c>
      <c r="E122" s="18" t="s">
        <v>556</v>
      </c>
      <c r="F122" s="18" t="s">
        <v>1502</v>
      </c>
      <c r="G122" s="18" t="s">
        <v>1503</v>
      </c>
      <c r="H122" s="23" t="s">
        <v>1050</v>
      </c>
      <c r="I122" s="20" t="s">
        <v>34</v>
      </c>
      <c r="J122" s="18" t="s">
        <v>1504</v>
      </c>
      <c r="K122" s="18" t="s">
        <v>1505</v>
      </c>
      <c r="L122" s="18" t="s">
        <v>1506</v>
      </c>
      <c r="M122" s="18" t="s">
        <v>1507</v>
      </c>
    </row>
    <row r="123" customFormat="false" ht="23.25" hidden="false" customHeight="true" outlineLevel="0" collapsed="false">
      <c r="A123" s="18" t="n">
        <v>132</v>
      </c>
      <c r="B123" s="18" t="s">
        <v>1519</v>
      </c>
      <c r="C123" s="18" t="s">
        <v>1501</v>
      </c>
      <c r="D123" s="18" t="s">
        <v>527</v>
      </c>
      <c r="E123" s="18" t="s">
        <v>559</v>
      </c>
      <c r="F123" s="18" t="s">
        <v>1502</v>
      </c>
      <c r="G123" s="18" t="s">
        <v>1503</v>
      </c>
      <c r="H123" s="23" t="s">
        <v>1050</v>
      </c>
      <c r="I123" s="20" t="s">
        <v>34</v>
      </c>
      <c r="J123" s="18" t="s">
        <v>1504</v>
      </c>
      <c r="K123" s="18" t="s">
        <v>1505</v>
      </c>
      <c r="L123" s="18" t="s">
        <v>1506</v>
      </c>
      <c r="M123" s="18" t="s">
        <v>1507</v>
      </c>
    </row>
    <row r="124" customFormat="false" ht="23.25" hidden="false" customHeight="true" outlineLevel="0" collapsed="false">
      <c r="A124" s="18" t="n">
        <v>133</v>
      </c>
      <c r="B124" s="18" t="s">
        <v>1520</v>
      </c>
      <c r="C124" s="18" t="s">
        <v>1501</v>
      </c>
      <c r="D124" s="18" t="s">
        <v>527</v>
      </c>
      <c r="E124" s="18" t="s">
        <v>562</v>
      </c>
      <c r="F124" s="18" t="s">
        <v>1502</v>
      </c>
      <c r="G124" s="18" t="s">
        <v>1503</v>
      </c>
      <c r="H124" s="23" t="s">
        <v>1050</v>
      </c>
      <c r="I124" s="20" t="s">
        <v>34</v>
      </c>
      <c r="J124" s="18" t="s">
        <v>1504</v>
      </c>
      <c r="K124" s="18" t="s">
        <v>1505</v>
      </c>
      <c r="L124" s="18" t="s">
        <v>1506</v>
      </c>
      <c r="M124" s="18" t="s">
        <v>1507</v>
      </c>
    </row>
    <row r="125" customFormat="false" ht="23.25" hidden="false" customHeight="true" outlineLevel="0" collapsed="false">
      <c r="A125" s="18" t="n">
        <v>134</v>
      </c>
      <c r="B125" s="18" t="s">
        <v>1521</v>
      </c>
      <c r="C125" s="18" t="s">
        <v>1501</v>
      </c>
      <c r="D125" s="18" t="s">
        <v>527</v>
      </c>
      <c r="E125" s="18" t="s">
        <v>565</v>
      </c>
      <c r="F125" s="18" t="s">
        <v>1502</v>
      </c>
      <c r="G125" s="18" t="s">
        <v>1503</v>
      </c>
      <c r="H125" s="23" t="s">
        <v>1050</v>
      </c>
      <c r="I125" s="20" t="s">
        <v>34</v>
      </c>
      <c r="J125" s="18" t="s">
        <v>1504</v>
      </c>
      <c r="K125" s="18" t="s">
        <v>1505</v>
      </c>
      <c r="L125" s="18" t="s">
        <v>1506</v>
      </c>
      <c r="M125" s="18" t="s">
        <v>1507</v>
      </c>
    </row>
    <row r="126" customFormat="false" ht="23.25" hidden="false" customHeight="true" outlineLevel="0" collapsed="false">
      <c r="A126" s="18" t="n">
        <v>135</v>
      </c>
      <c r="B126" s="18" t="s">
        <v>1522</v>
      </c>
      <c r="C126" s="18" t="s">
        <v>1501</v>
      </c>
      <c r="D126" s="18" t="s">
        <v>527</v>
      </c>
      <c r="E126" s="18" t="s">
        <v>568</v>
      </c>
      <c r="F126" s="18" t="s">
        <v>1502</v>
      </c>
      <c r="G126" s="18" t="s">
        <v>1503</v>
      </c>
      <c r="H126" s="23" t="s">
        <v>1050</v>
      </c>
      <c r="I126" s="20" t="s">
        <v>34</v>
      </c>
      <c r="J126" s="18" t="s">
        <v>1504</v>
      </c>
      <c r="K126" s="18" t="s">
        <v>1505</v>
      </c>
      <c r="L126" s="18" t="s">
        <v>1506</v>
      </c>
      <c r="M126" s="18" t="s">
        <v>1507</v>
      </c>
    </row>
    <row r="127" customFormat="false" ht="23.25" hidden="false" customHeight="true" outlineLevel="0" collapsed="false">
      <c r="A127" s="18" t="n">
        <v>136</v>
      </c>
      <c r="B127" s="18" t="s">
        <v>1523</v>
      </c>
      <c r="C127" s="18" t="s">
        <v>1501</v>
      </c>
      <c r="D127" s="18" t="s">
        <v>527</v>
      </c>
      <c r="E127" s="18" t="s">
        <v>572</v>
      </c>
      <c r="F127" s="18" t="s">
        <v>1502</v>
      </c>
      <c r="G127" s="18" t="s">
        <v>1503</v>
      </c>
      <c r="H127" s="23" t="s">
        <v>1050</v>
      </c>
      <c r="I127" s="20" t="s">
        <v>34</v>
      </c>
      <c r="J127" s="18" t="s">
        <v>1504</v>
      </c>
      <c r="K127" s="18" t="s">
        <v>1505</v>
      </c>
      <c r="L127" s="18" t="s">
        <v>1506</v>
      </c>
      <c r="M127" s="18" t="s">
        <v>1507</v>
      </c>
    </row>
    <row r="128" customFormat="false" ht="23.25" hidden="false" customHeight="true" outlineLevel="0" collapsed="false">
      <c r="A128" s="18" t="n">
        <v>137</v>
      </c>
      <c r="B128" s="18" t="s">
        <v>1524</v>
      </c>
      <c r="C128" s="18" t="s">
        <v>1501</v>
      </c>
      <c r="D128" s="18" t="s">
        <v>527</v>
      </c>
      <c r="E128" s="18" t="s">
        <v>574</v>
      </c>
      <c r="F128" s="18" t="s">
        <v>1502</v>
      </c>
      <c r="G128" s="18" t="s">
        <v>1503</v>
      </c>
      <c r="H128" s="23" t="s">
        <v>1050</v>
      </c>
      <c r="I128" s="20" t="s">
        <v>34</v>
      </c>
      <c r="J128" s="18" t="s">
        <v>1504</v>
      </c>
      <c r="K128" s="18" t="s">
        <v>1505</v>
      </c>
      <c r="L128" s="18" t="s">
        <v>1506</v>
      </c>
      <c r="M128" s="18" t="s">
        <v>1507</v>
      </c>
    </row>
    <row r="129" customFormat="false" ht="23.25" hidden="false" customHeight="true" outlineLevel="0" collapsed="false">
      <c r="A129" s="18" t="n">
        <v>138</v>
      </c>
      <c r="B129" s="18" t="s">
        <v>1525</v>
      </c>
      <c r="C129" s="18" t="s">
        <v>1501</v>
      </c>
      <c r="D129" s="18" t="s">
        <v>527</v>
      </c>
      <c r="E129" s="18" t="s">
        <v>576</v>
      </c>
      <c r="F129" s="18" t="s">
        <v>1502</v>
      </c>
      <c r="G129" s="18" t="s">
        <v>1503</v>
      </c>
      <c r="H129" s="23" t="s">
        <v>1050</v>
      </c>
      <c r="I129" s="20" t="s">
        <v>34</v>
      </c>
      <c r="J129" s="18" t="s">
        <v>1504</v>
      </c>
      <c r="K129" s="18" t="s">
        <v>1505</v>
      </c>
      <c r="L129" s="18" t="s">
        <v>1506</v>
      </c>
      <c r="M129" s="18" t="s">
        <v>1507</v>
      </c>
    </row>
    <row r="130" customFormat="false" ht="23.25" hidden="false" customHeight="true" outlineLevel="0" collapsed="false">
      <c r="A130" s="18" t="n">
        <v>139</v>
      </c>
      <c r="B130" s="18" t="s">
        <v>1526</v>
      </c>
      <c r="C130" s="18" t="s">
        <v>1501</v>
      </c>
      <c r="D130" s="18" t="s">
        <v>527</v>
      </c>
      <c r="E130" s="18" t="s">
        <v>579</v>
      </c>
      <c r="F130" s="18" t="s">
        <v>1502</v>
      </c>
      <c r="G130" s="18" t="s">
        <v>1503</v>
      </c>
      <c r="H130" s="23" t="s">
        <v>1050</v>
      </c>
      <c r="I130" s="20" t="s">
        <v>34</v>
      </c>
      <c r="J130" s="18" t="s">
        <v>1504</v>
      </c>
      <c r="K130" s="18" t="s">
        <v>1505</v>
      </c>
      <c r="L130" s="18" t="s">
        <v>1506</v>
      </c>
      <c r="M130" s="18" t="s">
        <v>1507</v>
      </c>
    </row>
    <row r="131" customFormat="false" ht="23.25" hidden="false" customHeight="true" outlineLevel="0" collapsed="false">
      <c r="A131" s="18" t="n">
        <v>140</v>
      </c>
      <c r="B131" s="18" t="s">
        <v>1527</v>
      </c>
      <c r="C131" s="18" t="s">
        <v>1501</v>
      </c>
      <c r="D131" s="18" t="s">
        <v>527</v>
      </c>
      <c r="E131" s="18" t="s">
        <v>582</v>
      </c>
      <c r="F131" s="18" t="s">
        <v>1502</v>
      </c>
      <c r="G131" s="18" t="s">
        <v>1503</v>
      </c>
      <c r="H131" s="23" t="s">
        <v>1050</v>
      </c>
      <c r="I131" s="20" t="s">
        <v>34</v>
      </c>
      <c r="J131" s="18" t="s">
        <v>1504</v>
      </c>
      <c r="K131" s="18" t="s">
        <v>1505</v>
      </c>
      <c r="L131" s="18" t="s">
        <v>1506</v>
      </c>
      <c r="M131" s="18" t="s">
        <v>1507</v>
      </c>
    </row>
    <row r="132" customFormat="false" ht="23.25" hidden="false" customHeight="true" outlineLevel="0" collapsed="false">
      <c r="A132" s="18" t="n">
        <v>141</v>
      </c>
      <c r="B132" s="18" t="s">
        <v>1528</v>
      </c>
      <c r="C132" s="18" t="s">
        <v>1501</v>
      </c>
      <c r="D132" s="18" t="s">
        <v>527</v>
      </c>
      <c r="E132" s="18" t="s">
        <v>585</v>
      </c>
      <c r="F132" s="18" t="s">
        <v>1502</v>
      </c>
      <c r="G132" s="18" t="s">
        <v>1503</v>
      </c>
      <c r="H132" s="23" t="s">
        <v>1050</v>
      </c>
      <c r="I132" s="20" t="s">
        <v>34</v>
      </c>
      <c r="J132" s="18" t="s">
        <v>1504</v>
      </c>
      <c r="K132" s="18" t="s">
        <v>1505</v>
      </c>
      <c r="L132" s="18" t="s">
        <v>1506</v>
      </c>
      <c r="M132" s="18" t="s">
        <v>1507</v>
      </c>
    </row>
    <row r="133" customFormat="false" ht="23.25" hidden="false" customHeight="true" outlineLevel="0" collapsed="false">
      <c r="A133" s="18" t="n">
        <v>142</v>
      </c>
      <c r="B133" s="18" t="s">
        <v>1529</v>
      </c>
      <c r="C133" s="18" t="s">
        <v>1501</v>
      </c>
      <c r="D133" s="18" t="s">
        <v>527</v>
      </c>
      <c r="E133" s="18" t="s">
        <v>588</v>
      </c>
      <c r="F133" s="18" t="s">
        <v>1502</v>
      </c>
      <c r="G133" s="18" t="s">
        <v>1503</v>
      </c>
      <c r="H133" s="23" t="s">
        <v>1050</v>
      </c>
      <c r="I133" s="20" t="s">
        <v>34</v>
      </c>
      <c r="J133" s="18" t="s">
        <v>1504</v>
      </c>
      <c r="K133" s="18" t="s">
        <v>1505</v>
      </c>
      <c r="L133" s="18" t="s">
        <v>1506</v>
      </c>
      <c r="M133" s="18" t="s">
        <v>1507</v>
      </c>
    </row>
    <row r="134" customFormat="false" ht="23.25" hidden="false" customHeight="true" outlineLevel="0" collapsed="false">
      <c r="A134" s="18" t="n">
        <v>143</v>
      </c>
      <c r="B134" s="18" t="s">
        <v>1530</v>
      </c>
      <c r="C134" s="18" t="s">
        <v>1501</v>
      </c>
      <c r="D134" s="18" t="s">
        <v>527</v>
      </c>
      <c r="E134" s="18" t="s">
        <v>591</v>
      </c>
      <c r="F134" s="18" t="s">
        <v>1502</v>
      </c>
      <c r="G134" s="18" t="s">
        <v>1503</v>
      </c>
      <c r="H134" s="23" t="s">
        <v>1050</v>
      </c>
      <c r="I134" s="20" t="s">
        <v>34</v>
      </c>
      <c r="J134" s="18" t="s">
        <v>1504</v>
      </c>
      <c r="K134" s="18" t="s">
        <v>1505</v>
      </c>
      <c r="L134" s="18" t="s">
        <v>1506</v>
      </c>
      <c r="M134" s="18" t="s">
        <v>1507</v>
      </c>
    </row>
    <row r="135" customFormat="false" ht="23.25" hidden="false" customHeight="true" outlineLevel="0" collapsed="false">
      <c r="A135" s="18" t="n">
        <v>144</v>
      </c>
      <c r="B135" s="18" t="s">
        <v>1531</v>
      </c>
      <c r="C135" s="18" t="s">
        <v>1501</v>
      </c>
      <c r="D135" s="18" t="s">
        <v>527</v>
      </c>
      <c r="E135" s="18" t="s">
        <v>594</v>
      </c>
      <c r="F135" s="18" t="s">
        <v>1502</v>
      </c>
      <c r="G135" s="18" t="s">
        <v>1503</v>
      </c>
      <c r="H135" s="23" t="s">
        <v>1050</v>
      </c>
      <c r="I135" s="20" t="s">
        <v>34</v>
      </c>
      <c r="J135" s="18" t="s">
        <v>1504</v>
      </c>
      <c r="K135" s="18" t="s">
        <v>1505</v>
      </c>
      <c r="L135" s="18" t="s">
        <v>1506</v>
      </c>
      <c r="M135" s="18" t="s">
        <v>1507</v>
      </c>
    </row>
    <row r="136" customFormat="false" ht="23.25" hidden="false" customHeight="true" outlineLevel="0" collapsed="false">
      <c r="A136" s="18" t="n">
        <v>145</v>
      </c>
      <c r="B136" s="18" t="s">
        <v>1532</v>
      </c>
      <c r="C136" s="18" t="s">
        <v>1501</v>
      </c>
      <c r="D136" s="18" t="s">
        <v>527</v>
      </c>
      <c r="E136" s="18" t="s">
        <v>597</v>
      </c>
      <c r="F136" s="18" t="s">
        <v>1502</v>
      </c>
      <c r="G136" s="18" t="s">
        <v>1503</v>
      </c>
      <c r="H136" s="23" t="s">
        <v>1050</v>
      </c>
      <c r="I136" s="20" t="s">
        <v>34</v>
      </c>
      <c r="J136" s="18" t="s">
        <v>1504</v>
      </c>
      <c r="K136" s="18" t="s">
        <v>1505</v>
      </c>
      <c r="L136" s="18" t="s">
        <v>1506</v>
      </c>
      <c r="M136" s="18" t="s">
        <v>1507</v>
      </c>
    </row>
    <row r="137" customFormat="false" ht="23.25" hidden="false" customHeight="true" outlineLevel="0" collapsed="false">
      <c r="A137" s="18" t="n">
        <v>146</v>
      </c>
      <c r="B137" s="18" t="s">
        <v>1533</v>
      </c>
      <c r="C137" s="18" t="s">
        <v>1501</v>
      </c>
      <c r="D137" s="18" t="s">
        <v>527</v>
      </c>
      <c r="E137" s="18" t="s">
        <v>600</v>
      </c>
      <c r="F137" s="18" t="s">
        <v>1502</v>
      </c>
      <c r="G137" s="18" t="s">
        <v>1503</v>
      </c>
      <c r="H137" s="23" t="s">
        <v>1050</v>
      </c>
      <c r="I137" s="20" t="s">
        <v>34</v>
      </c>
      <c r="J137" s="18" t="s">
        <v>1504</v>
      </c>
      <c r="K137" s="18" t="s">
        <v>1505</v>
      </c>
      <c r="L137" s="18" t="s">
        <v>1506</v>
      </c>
      <c r="M137" s="18" t="s">
        <v>1507</v>
      </c>
    </row>
    <row r="138" customFormat="false" ht="23.25" hidden="false" customHeight="true" outlineLevel="0" collapsed="false">
      <c r="A138" s="18" t="n">
        <v>147</v>
      </c>
      <c r="B138" s="18" t="s">
        <v>1534</v>
      </c>
      <c r="C138" s="18" t="s">
        <v>1501</v>
      </c>
      <c r="D138" s="18" t="s">
        <v>527</v>
      </c>
      <c r="E138" s="18" t="s">
        <v>604</v>
      </c>
      <c r="F138" s="18" t="s">
        <v>1502</v>
      </c>
      <c r="G138" s="18" t="s">
        <v>1503</v>
      </c>
      <c r="H138" s="23" t="s">
        <v>1050</v>
      </c>
      <c r="I138" s="20" t="s">
        <v>34</v>
      </c>
      <c r="J138" s="18" t="s">
        <v>1504</v>
      </c>
      <c r="K138" s="18" t="s">
        <v>1505</v>
      </c>
      <c r="L138" s="18" t="s">
        <v>1506</v>
      </c>
      <c r="M138" s="18" t="s">
        <v>1507</v>
      </c>
    </row>
    <row r="139" customFormat="false" ht="23.25" hidden="false" customHeight="true" outlineLevel="0" collapsed="false">
      <c r="A139" s="18" t="n">
        <v>148</v>
      </c>
      <c r="B139" s="18" t="s">
        <v>1535</v>
      </c>
      <c r="C139" s="18" t="s">
        <v>1501</v>
      </c>
      <c r="D139" s="18" t="s">
        <v>527</v>
      </c>
      <c r="E139" s="18" t="s">
        <v>607</v>
      </c>
      <c r="F139" s="18" t="s">
        <v>1502</v>
      </c>
      <c r="G139" s="18" t="s">
        <v>1503</v>
      </c>
      <c r="H139" s="23" t="s">
        <v>1050</v>
      </c>
      <c r="I139" s="20" t="s">
        <v>34</v>
      </c>
      <c r="J139" s="18" t="s">
        <v>1504</v>
      </c>
      <c r="K139" s="18" t="s">
        <v>1505</v>
      </c>
      <c r="L139" s="18" t="s">
        <v>1506</v>
      </c>
      <c r="M139" s="18" t="s">
        <v>1507</v>
      </c>
    </row>
    <row r="140" customFormat="false" ht="23.25" hidden="false" customHeight="true" outlineLevel="0" collapsed="false">
      <c r="A140" s="18" t="n">
        <v>149</v>
      </c>
      <c r="B140" s="18" t="s">
        <v>1536</v>
      </c>
      <c r="C140" s="18" t="s">
        <v>1501</v>
      </c>
      <c r="D140" s="18" t="s">
        <v>527</v>
      </c>
      <c r="E140" s="18" t="s">
        <v>609</v>
      </c>
      <c r="F140" s="18" t="s">
        <v>1502</v>
      </c>
      <c r="G140" s="18" t="s">
        <v>1503</v>
      </c>
      <c r="H140" s="23" t="s">
        <v>1050</v>
      </c>
      <c r="I140" s="20" t="s">
        <v>34</v>
      </c>
      <c r="J140" s="18" t="s">
        <v>1504</v>
      </c>
      <c r="K140" s="18" t="s">
        <v>1505</v>
      </c>
      <c r="L140" s="18" t="s">
        <v>1506</v>
      </c>
      <c r="M140" s="18" t="s">
        <v>1507</v>
      </c>
    </row>
    <row r="141" customFormat="false" ht="23.25" hidden="false" customHeight="true" outlineLevel="0" collapsed="false">
      <c r="A141" s="18" t="n">
        <v>150</v>
      </c>
      <c r="B141" s="18" t="s">
        <v>1537</v>
      </c>
      <c r="C141" s="18" t="s">
        <v>1501</v>
      </c>
      <c r="D141" s="18" t="s">
        <v>527</v>
      </c>
      <c r="E141" s="18" t="s">
        <v>612</v>
      </c>
      <c r="F141" s="18" t="s">
        <v>1502</v>
      </c>
      <c r="G141" s="18" t="s">
        <v>1503</v>
      </c>
      <c r="H141" s="23" t="s">
        <v>1050</v>
      </c>
      <c r="I141" s="20" t="s">
        <v>34</v>
      </c>
      <c r="J141" s="18" t="s">
        <v>1504</v>
      </c>
      <c r="K141" s="18" t="s">
        <v>1505</v>
      </c>
      <c r="L141" s="18" t="s">
        <v>1506</v>
      </c>
      <c r="M141" s="18" t="s">
        <v>1507</v>
      </c>
    </row>
    <row r="142" customFormat="false" ht="23.25" hidden="false" customHeight="true" outlineLevel="0" collapsed="false">
      <c r="A142" s="18" t="n">
        <v>151</v>
      </c>
      <c r="B142" s="18" t="s">
        <v>1538</v>
      </c>
      <c r="C142" s="18" t="s">
        <v>1501</v>
      </c>
      <c r="D142" s="18" t="s">
        <v>527</v>
      </c>
      <c r="E142" s="18" t="s">
        <v>615</v>
      </c>
      <c r="F142" s="18" t="s">
        <v>1502</v>
      </c>
      <c r="G142" s="18" t="s">
        <v>1503</v>
      </c>
      <c r="H142" s="23" t="s">
        <v>1050</v>
      </c>
      <c r="I142" s="20" t="s">
        <v>34</v>
      </c>
      <c r="J142" s="18" t="s">
        <v>1504</v>
      </c>
      <c r="K142" s="18" t="s">
        <v>1505</v>
      </c>
      <c r="L142" s="18" t="s">
        <v>1506</v>
      </c>
      <c r="M142" s="18" t="s">
        <v>1507</v>
      </c>
    </row>
    <row r="143" customFormat="false" ht="23.25" hidden="false" customHeight="true" outlineLevel="0" collapsed="false">
      <c r="A143" s="18" t="n">
        <v>152</v>
      </c>
      <c r="B143" s="18" t="s">
        <v>1539</v>
      </c>
      <c r="C143" s="18" t="s">
        <v>1501</v>
      </c>
      <c r="D143" s="18" t="s">
        <v>527</v>
      </c>
      <c r="E143" s="18" t="s">
        <v>618</v>
      </c>
      <c r="F143" s="18" t="s">
        <v>1502</v>
      </c>
      <c r="G143" s="18" t="s">
        <v>1503</v>
      </c>
      <c r="H143" s="23" t="s">
        <v>1050</v>
      </c>
      <c r="I143" s="20" t="s">
        <v>34</v>
      </c>
      <c r="J143" s="18" t="s">
        <v>1504</v>
      </c>
      <c r="K143" s="18" t="s">
        <v>1505</v>
      </c>
      <c r="L143" s="18" t="s">
        <v>1506</v>
      </c>
      <c r="M143" s="18" t="s">
        <v>1507</v>
      </c>
    </row>
    <row r="144" customFormat="false" ht="23.25" hidden="false" customHeight="true" outlineLevel="0" collapsed="false">
      <c r="A144" s="18" t="n">
        <v>153</v>
      </c>
      <c r="B144" s="18" t="s">
        <v>1540</v>
      </c>
      <c r="C144" s="18" t="s">
        <v>1501</v>
      </c>
      <c r="D144" s="18" t="s">
        <v>527</v>
      </c>
      <c r="E144" s="18" t="s">
        <v>621</v>
      </c>
      <c r="F144" s="18" t="s">
        <v>1502</v>
      </c>
      <c r="G144" s="18" t="s">
        <v>1503</v>
      </c>
      <c r="H144" s="23" t="s">
        <v>1050</v>
      </c>
      <c r="I144" s="20" t="s">
        <v>34</v>
      </c>
      <c r="J144" s="18" t="s">
        <v>1504</v>
      </c>
      <c r="K144" s="18" t="s">
        <v>1505</v>
      </c>
      <c r="L144" s="18" t="s">
        <v>1506</v>
      </c>
      <c r="M144" s="18" t="s">
        <v>1507</v>
      </c>
    </row>
    <row r="145" customFormat="false" ht="23.25" hidden="false" customHeight="true" outlineLevel="0" collapsed="false">
      <c r="A145" s="18" t="n">
        <v>154</v>
      </c>
      <c r="B145" s="18" t="s">
        <v>1541</v>
      </c>
      <c r="C145" s="18" t="s">
        <v>1501</v>
      </c>
      <c r="D145" s="18" t="s">
        <v>527</v>
      </c>
      <c r="E145" s="18" t="s">
        <v>624</v>
      </c>
      <c r="F145" s="18" t="s">
        <v>1502</v>
      </c>
      <c r="G145" s="18" t="s">
        <v>1503</v>
      </c>
      <c r="H145" s="23" t="s">
        <v>1050</v>
      </c>
      <c r="I145" s="20" t="s">
        <v>34</v>
      </c>
      <c r="J145" s="18" t="s">
        <v>1504</v>
      </c>
      <c r="K145" s="18" t="s">
        <v>1505</v>
      </c>
      <c r="L145" s="18" t="s">
        <v>1506</v>
      </c>
      <c r="M145" s="18" t="s">
        <v>1507</v>
      </c>
    </row>
    <row r="146" customFormat="false" ht="23.25" hidden="false" customHeight="true" outlineLevel="0" collapsed="false">
      <c r="A146" s="18" t="n">
        <v>155</v>
      </c>
      <c r="B146" s="18" t="s">
        <v>1542</v>
      </c>
      <c r="C146" s="18" t="s">
        <v>1501</v>
      </c>
      <c r="D146" s="18" t="s">
        <v>527</v>
      </c>
      <c r="E146" s="18" t="s">
        <v>627</v>
      </c>
      <c r="F146" s="18" t="s">
        <v>1502</v>
      </c>
      <c r="G146" s="18" t="s">
        <v>1503</v>
      </c>
      <c r="H146" s="23" t="s">
        <v>1050</v>
      </c>
      <c r="I146" s="20" t="s">
        <v>34</v>
      </c>
      <c r="J146" s="18" t="s">
        <v>1504</v>
      </c>
      <c r="K146" s="18" t="s">
        <v>1505</v>
      </c>
      <c r="L146" s="18" t="s">
        <v>1506</v>
      </c>
      <c r="M146" s="18" t="s">
        <v>1507</v>
      </c>
    </row>
    <row r="147" customFormat="false" ht="23.25" hidden="false" customHeight="true" outlineLevel="0" collapsed="false">
      <c r="A147" s="18" t="n">
        <v>156</v>
      </c>
      <c r="B147" s="18" t="s">
        <v>1543</v>
      </c>
      <c r="C147" s="18" t="s">
        <v>1501</v>
      </c>
      <c r="D147" s="18" t="s">
        <v>527</v>
      </c>
      <c r="E147" s="18" t="s">
        <v>630</v>
      </c>
      <c r="F147" s="18" t="s">
        <v>1502</v>
      </c>
      <c r="G147" s="18" t="s">
        <v>1503</v>
      </c>
      <c r="H147" s="23" t="s">
        <v>1050</v>
      </c>
      <c r="I147" s="20" t="s">
        <v>34</v>
      </c>
      <c r="J147" s="18" t="s">
        <v>1504</v>
      </c>
      <c r="K147" s="18" t="s">
        <v>1505</v>
      </c>
      <c r="L147" s="18" t="s">
        <v>1506</v>
      </c>
      <c r="M147" s="18" t="s">
        <v>1507</v>
      </c>
    </row>
    <row r="148" customFormat="false" ht="23.25" hidden="false" customHeight="true" outlineLevel="0" collapsed="false">
      <c r="A148" s="18" t="n">
        <v>157</v>
      </c>
      <c r="B148" s="18" t="s">
        <v>1544</v>
      </c>
      <c r="C148" s="18" t="s">
        <v>1501</v>
      </c>
      <c r="D148" s="18" t="s">
        <v>527</v>
      </c>
      <c r="E148" s="18" t="s">
        <v>633</v>
      </c>
      <c r="F148" s="18" t="s">
        <v>1502</v>
      </c>
      <c r="G148" s="18" t="s">
        <v>1503</v>
      </c>
      <c r="H148" s="23" t="s">
        <v>1050</v>
      </c>
      <c r="I148" s="20" t="s">
        <v>34</v>
      </c>
      <c r="J148" s="18" t="s">
        <v>1504</v>
      </c>
      <c r="K148" s="18" t="s">
        <v>1505</v>
      </c>
      <c r="L148" s="18" t="s">
        <v>1506</v>
      </c>
      <c r="M148" s="18" t="s">
        <v>1507</v>
      </c>
    </row>
    <row r="149" customFormat="false" ht="23.25" hidden="false" customHeight="true" outlineLevel="0" collapsed="false">
      <c r="A149" s="18" t="n">
        <v>158</v>
      </c>
      <c r="B149" s="18" t="s">
        <v>1545</v>
      </c>
      <c r="C149" s="18" t="s">
        <v>1501</v>
      </c>
      <c r="D149" s="18" t="s">
        <v>527</v>
      </c>
      <c r="E149" s="18" t="s">
        <v>637</v>
      </c>
      <c r="F149" s="18" t="s">
        <v>1502</v>
      </c>
      <c r="G149" s="18" t="s">
        <v>1503</v>
      </c>
      <c r="H149" s="23" t="s">
        <v>1050</v>
      </c>
      <c r="I149" s="20" t="s">
        <v>34</v>
      </c>
      <c r="J149" s="18" t="s">
        <v>1504</v>
      </c>
      <c r="K149" s="18" t="s">
        <v>1505</v>
      </c>
      <c r="L149" s="18" t="s">
        <v>1506</v>
      </c>
      <c r="M149" s="18" t="s">
        <v>1507</v>
      </c>
    </row>
    <row r="150" customFormat="false" ht="23.25" hidden="false" customHeight="true" outlineLevel="0" collapsed="false">
      <c r="A150" s="18" t="n">
        <v>159</v>
      </c>
      <c r="B150" s="18" t="s">
        <v>1546</v>
      </c>
      <c r="C150" s="18" t="s">
        <v>1501</v>
      </c>
      <c r="D150" s="18" t="s">
        <v>527</v>
      </c>
      <c r="E150" s="18" t="s">
        <v>639</v>
      </c>
      <c r="F150" s="18" t="s">
        <v>1502</v>
      </c>
      <c r="G150" s="18" t="s">
        <v>1503</v>
      </c>
      <c r="H150" s="23" t="s">
        <v>1050</v>
      </c>
      <c r="I150" s="20" t="s">
        <v>34</v>
      </c>
      <c r="J150" s="18" t="s">
        <v>1504</v>
      </c>
      <c r="K150" s="18" t="s">
        <v>1505</v>
      </c>
      <c r="L150" s="18" t="s">
        <v>1506</v>
      </c>
      <c r="M150" s="18" t="s">
        <v>1507</v>
      </c>
    </row>
    <row r="151" customFormat="false" ht="23.25" hidden="false" customHeight="true" outlineLevel="0" collapsed="false">
      <c r="A151" s="18" t="n">
        <v>160</v>
      </c>
      <c r="B151" s="18" t="s">
        <v>1547</v>
      </c>
      <c r="C151" s="18" t="s">
        <v>1501</v>
      </c>
      <c r="D151" s="18" t="s">
        <v>527</v>
      </c>
      <c r="E151" s="18" t="s">
        <v>642</v>
      </c>
      <c r="F151" s="18" t="s">
        <v>1502</v>
      </c>
      <c r="G151" s="18" t="s">
        <v>1503</v>
      </c>
      <c r="H151" s="23" t="s">
        <v>1050</v>
      </c>
      <c r="I151" s="20" t="s">
        <v>34</v>
      </c>
      <c r="J151" s="18" t="s">
        <v>1504</v>
      </c>
      <c r="K151" s="18" t="s">
        <v>1505</v>
      </c>
      <c r="L151" s="18" t="s">
        <v>1506</v>
      </c>
      <c r="M151" s="18" t="s">
        <v>1507</v>
      </c>
    </row>
    <row r="152" customFormat="false" ht="23.25" hidden="false" customHeight="true" outlineLevel="0" collapsed="false">
      <c r="A152" s="18" t="n">
        <v>161</v>
      </c>
      <c r="B152" s="18" t="s">
        <v>1548</v>
      </c>
      <c r="C152" s="18" t="s">
        <v>1501</v>
      </c>
      <c r="D152" s="18" t="s">
        <v>527</v>
      </c>
      <c r="E152" s="18" t="s">
        <v>571</v>
      </c>
      <c r="F152" s="18" t="s">
        <v>1502</v>
      </c>
      <c r="G152" s="18" t="s">
        <v>1503</v>
      </c>
      <c r="H152" s="23" t="s">
        <v>1050</v>
      </c>
      <c r="I152" s="20" t="s">
        <v>34</v>
      </c>
      <c r="J152" s="18" t="s">
        <v>1504</v>
      </c>
      <c r="K152" s="18" t="s">
        <v>1505</v>
      </c>
      <c r="L152" s="18" t="s">
        <v>1506</v>
      </c>
      <c r="M152" s="18" t="s">
        <v>1507</v>
      </c>
    </row>
    <row r="153" customFormat="false" ht="23.25" hidden="false" customHeight="true" outlineLevel="0" collapsed="false">
      <c r="A153" s="18" t="n">
        <v>162</v>
      </c>
      <c r="B153" s="18" t="s">
        <v>1549</v>
      </c>
      <c r="C153" s="18" t="s">
        <v>1501</v>
      </c>
      <c r="D153" s="18" t="s">
        <v>527</v>
      </c>
      <c r="E153" s="18" t="s">
        <v>645</v>
      </c>
      <c r="F153" s="18" t="s">
        <v>1502</v>
      </c>
      <c r="G153" s="18" t="s">
        <v>1503</v>
      </c>
      <c r="H153" s="23" t="s">
        <v>1050</v>
      </c>
      <c r="I153" s="20" t="s">
        <v>34</v>
      </c>
      <c r="J153" s="18" t="s">
        <v>1504</v>
      </c>
      <c r="K153" s="18" t="s">
        <v>1505</v>
      </c>
      <c r="L153" s="18" t="s">
        <v>1506</v>
      </c>
      <c r="M153" s="18" t="s">
        <v>1507</v>
      </c>
    </row>
    <row r="154" customFormat="false" ht="23.25" hidden="false" customHeight="true" outlineLevel="0" collapsed="false">
      <c r="A154" s="18" t="n">
        <v>163</v>
      </c>
      <c r="B154" s="18" t="s">
        <v>1550</v>
      </c>
      <c r="C154" s="18" t="s">
        <v>1501</v>
      </c>
      <c r="D154" s="18" t="s">
        <v>527</v>
      </c>
      <c r="E154" s="18" t="s">
        <v>647</v>
      </c>
      <c r="F154" s="18" t="s">
        <v>1502</v>
      </c>
      <c r="G154" s="18" t="s">
        <v>1503</v>
      </c>
      <c r="H154" s="23" t="s">
        <v>1050</v>
      </c>
      <c r="I154" s="20" t="s">
        <v>34</v>
      </c>
      <c r="J154" s="18" t="s">
        <v>1504</v>
      </c>
      <c r="K154" s="18" t="s">
        <v>1505</v>
      </c>
      <c r="L154" s="18" t="s">
        <v>1506</v>
      </c>
      <c r="M154" s="18" t="s">
        <v>1507</v>
      </c>
    </row>
    <row r="155" customFormat="false" ht="23.25" hidden="false" customHeight="true" outlineLevel="0" collapsed="false">
      <c r="A155" s="18" t="n">
        <v>164</v>
      </c>
      <c r="B155" s="18" t="s">
        <v>1551</v>
      </c>
      <c r="C155" s="18" t="s">
        <v>1501</v>
      </c>
      <c r="D155" s="18" t="s">
        <v>527</v>
      </c>
      <c r="E155" s="18" t="s">
        <v>649</v>
      </c>
      <c r="F155" s="18" t="s">
        <v>1502</v>
      </c>
      <c r="G155" s="18" t="s">
        <v>1503</v>
      </c>
      <c r="H155" s="23" t="s">
        <v>1050</v>
      </c>
      <c r="I155" s="20" t="s">
        <v>34</v>
      </c>
      <c r="J155" s="18" t="s">
        <v>1504</v>
      </c>
      <c r="K155" s="18" t="s">
        <v>1505</v>
      </c>
      <c r="L155" s="18" t="s">
        <v>1506</v>
      </c>
      <c r="M155" s="18" t="s">
        <v>1507</v>
      </c>
    </row>
    <row r="156" customFormat="false" ht="23.25" hidden="false" customHeight="true" outlineLevel="0" collapsed="false">
      <c r="A156" s="18" t="n">
        <v>165</v>
      </c>
      <c r="B156" s="18" t="s">
        <v>1552</v>
      </c>
      <c r="C156" s="18" t="s">
        <v>1501</v>
      </c>
      <c r="D156" s="18" t="s">
        <v>527</v>
      </c>
      <c r="E156" s="18" t="s">
        <v>652</v>
      </c>
      <c r="F156" s="18" t="s">
        <v>1502</v>
      </c>
      <c r="G156" s="18" t="s">
        <v>1503</v>
      </c>
      <c r="H156" s="23" t="s">
        <v>1050</v>
      </c>
      <c r="I156" s="20" t="s">
        <v>34</v>
      </c>
      <c r="J156" s="18" t="s">
        <v>1504</v>
      </c>
      <c r="K156" s="18" t="s">
        <v>1505</v>
      </c>
      <c r="L156" s="18" t="s">
        <v>1506</v>
      </c>
      <c r="M156" s="18" t="s">
        <v>1507</v>
      </c>
    </row>
    <row r="157" customFormat="false" ht="23.25" hidden="false" customHeight="true" outlineLevel="0" collapsed="false">
      <c r="A157" s="18" t="n">
        <v>166</v>
      </c>
      <c r="B157" s="18" t="s">
        <v>1553</v>
      </c>
      <c r="C157" s="18" t="s">
        <v>1501</v>
      </c>
      <c r="D157" s="18" t="s">
        <v>527</v>
      </c>
      <c r="E157" s="18" t="s">
        <v>649</v>
      </c>
      <c r="F157" s="18" t="s">
        <v>1502</v>
      </c>
      <c r="G157" s="18" t="s">
        <v>1503</v>
      </c>
      <c r="H157" s="23" t="s">
        <v>1050</v>
      </c>
      <c r="I157" s="20" t="s">
        <v>34</v>
      </c>
      <c r="J157" s="18" t="s">
        <v>1504</v>
      </c>
      <c r="K157" s="18" t="s">
        <v>1505</v>
      </c>
      <c r="L157" s="18" t="s">
        <v>1506</v>
      </c>
      <c r="M157" s="18" t="s">
        <v>1507</v>
      </c>
    </row>
    <row r="158" customFormat="false" ht="23.25" hidden="false" customHeight="true" outlineLevel="0" collapsed="false">
      <c r="A158" s="18" t="n">
        <v>167</v>
      </c>
      <c r="B158" s="18" t="s">
        <v>1554</v>
      </c>
      <c r="C158" s="18" t="s">
        <v>1501</v>
      </c>
      <c r="D158" s="18" t="s">
        <v>527</v>
      </c>
      <c r="E158" s="18" t="s">
        <v>637</v>
      </c>
      <c r="F158" s="18" t="s">
        <v>1502</v>
      </c>
      <c r="G158" s="18" t="s">
        <v>1503</v>
      </c>
      <c r="H158" s="23" t="s">
        <v>1050</v>
      </c>
      <c r="I158" s="20" t="s">
        <v>34</v>
      </c>
      <c r="J158" s="18" t="s">
        <v>1504</v>
      </c>
      <c r="K158" s="18" t="s">
        <v>1505</v>
      </c>
      <c r="L158" s="18" t="s">
        <v>1506</v>
      </c>
      <c r="M158" s="18" t="s">
        <v>1507</v>
      </c>
    </row>
    <row r="159" customFormat="false" ht="23.25" hidden="false" customHeight="true" outlineLevel="0" collapsed="false">
      <c r="A159" s="18" t="n">
        <v>168</v>
      </c>
      <c r="B159" s="18" t="s">
        <v>1555</v>
      </c>
      <c r="C159" s="18" t="s">
        <v>1501</v>
      </c>
      <c r="D159" s="18" t="s">
        <v>527</v>
      </c>
      <c r="E159" s="18" t="s">
        <v>637</v>
      </c>
      <c r="F159" s="18" t="s">
        <v>1502</v>
      </c>
      <c r="G159" s="18" t="s">
        <v>1503</v>
      </c>
      <c r="H159" s="23" t="s">
        <v>1050</v>
      </c>
      <c r="I159" s="20" t="s">
        <v>34</v>
      </c>
      <c r="J159" s="18" t="s">
        <v>1504</v>
      </c>
      <c r="K159" s="18" t="s">
        <v>1505</v>
      </c>
      <c r="L159" s="18" t="s">
        <v>1506</v>
      </c>
      <c r="M159" s="18" t="s">
        <v>1507</v>
      </c>
    </row>
    <row r="160" customFormat="false" ht="23.25" hidden="false" customHeight="true" outlineLevel="0" collapsed="false">
      <c r="A160" s="18" t="n">
        <v>169</v>
      </c>
      <c r="B160" s="18" t="s">
        <v>1556</v>
      </c>
      <c r="C160" s="18" t="s">
        <v>1501</v>
      </c>
      <c r="D160" s="18" t="s">
        <v>527</v>
      </c>
      <c r="E160" s="18" t="s">
        <v>571</v>
      </c>
      <c r="F160" s="18" t="s">
        <v>1502</v>
      </c>
      <c r="G160" s="18" t="s">
        <v>1503</v>
      </c>
      <c r="H160" s="23" t="s">
        <v>1050</v>
      </c>
      <c r="I160" s="20" t="s">
        <v>34</v>
      </c>
      <c r="J160" s="18" t="s">
        <v>1504</v>
      </c>
      <c r="K160" s="18" t="s">
        <v>1505</v>
      </c>
      <c r="L160" s="18" t="s">
        <v>1506</v>
      </c>
      <c r="M160" s="18" t="s">
        <v>1507</v>
      </c>
    </row>
    <row r="161" customFormat="false" ht="23.25" hidden="false" customHeight="true" outlineLevel="0" collapsed="false">
      <c r="A161" s="18" t="n">
        <v>170</v>
      </c>
      <c r="B161" s="18" t="s">
        <v>1557</v>
      </c>
      <c r="C161" s="18" t="s">
        <v>1501</v>
      </c>
      <c r="D161" s="18" t="s">
        <v>527</v>
      </c>
      <c r="E161" s="18" t="s">
        <v>642</v>
      </c>
      <c r="F161" s="18" t="s">
        <v>1502</v>
      </c>
      <c r="G161" s="18" t="s">
        <v>1503</v>
      </c>
      <c r="H161" s="23" t="s">
        <v>1050</v>
      </c>
      <c r="I161" s="20" t="s">
        <v>34</v>
      </c>
      <c r="J161" s="18" t="s">
        <v>1504</v>
      </c>
      <c r="K161" s="18" t="s">
        <v>1505</v>
      </c>
      <c r="L161" s="18" t="s">
        <v>1506</v>
      </c>
      <c r="M161" s="18" t="s">
        <v>1507</v>
      </c>
    </row>
    <row r="162" customFormat="false" ht="23.25" hidden="false" customHeight="true" outlineLevel="0" collapsed="false">
      <c r="A162" s="18" t="n">
        <v>171</v>
      </c>
      <c r="B162" s="18" t="s">
        <v>1558</v>
      </c>
      <c r="C162" s="18" t="s">
        <v>1501</v>
      </c>
      <c r="D162" s="18" t="s">
        <v>527</v>
      </c>
      <c r="E162" s="18" t="s">
        <v>645</v>
      </c>
      <c r="F162" s="18" t="s">
        <v>1502</v>
      </c>
      <c r="G162" s="18" t="s">
        <v>1503</v>
      </c>
      <c r="H162" s="23" t="s">
        <v>1050</v>
      </c>
      <c r="I162" s="20" t="s">
        <v>34</v>
      </c>
      <c r="J162" s="18" t="s">
        <v>1504</v>
      </c>
      <c r="K162" s="18" t="s">
        <v>1505</v>
      </c>
      <c r="L162" s="18" t="s">
        <v>1506</v>
      </c>
      <c r="M162" s="18" t="s">
        <v>1507</v>
      </c>
    </row>
    <row r="163" customFormat="false" ht="23.25" hidden="false" customHeight="true" outlineLevel="0" collapsed="false">
      <c r="A163" s="18" t="n">
        <v>172</v>
      </c>
      <c r="B163" s="18" t="s">
        <v>1559</v>
      </c>
      <c r="C163" s="18" t="s">
        <v>1501</v>
      </c>
      <c r="D163" s="18" t="s">
        <v>527</v>
      </c>
      <c r="E163" s="18" t="s">
        <v>647</v>
      </c>
      <c r="F163" s="18" t="s">
        <v>1502</v>
      </c>
      <c r="G163" s="18" t="s">
        <v>1503</v>
      </c>
      <c r="H163" s="23" t="s">
        <v>1050</v>
      </c>
      <c r="I163" s="20" t="s">
        <v>34</v>
      </c>
      <c r="J163" s="18" t="s">
        <v>1504</v>
      </c>
      <c r="K163" s="18" t="s">
        <v>1505</v>
      </c>
      <c r="L163" s="18" t="s">
        <v>1506</v>
      </c>
      <c r="M163" s="18" t="s">
        <v>1507</v>
      </c>
    </row>
    <row r="164" customFormat="false" ht="23.25" hidden="false" customHeight="true" outlineLevel="0" collapsed="false">
      <c r="A164" s="18" t="n">
        <v>173</v>
      </c>
      <c r="B164" s="18" t="s">
        <v>1560</v>
      </c>
      <c r="C164" s="18" t="s">
        <v>1501</v>
      </c>
      <c r="D164" s="18" t="s">
        <v>527</v>
      </c>
      <c r="E164" s="18" t="s">
        <v>671</v>
      </c>
      <c r="F164" s="18" t="s">
        <v>1502</v>
      </c>
      <c r="G164" s="18" t="s">
        <v>1503</v>
      </c>
      <c r="H164" s="23" t="s">
        <v>1050</v>
      </c>
      <c r="I164" s="20" t="s">
        <v>34</v>
      </c>
      <c r="J164" s="18" t="s">
        <v>1504</v>
      </c>
      <c r="K164" s="18" t="s">
        <v>1505</v>
      </c>
      <c r="L164" s="18" t="s">
        <v>1506</v>
      </c>
      <c r="M164" s="18" t="s">
        <v>1507</v>
      </c>
    </row>
    <row r="165" customFormat="false" ht="23.25" hidden="false" customHeight="true" outlineLevel="0" collapsed="false">
      <c r="A165" s="18" t="n">
        <v>174</v>
      </c>
      <c r="B165" s="18" t="s">
        <v>1561</v>
      </c>
      <c r="C165" s="18" t="s">
        <v>1501</v>
      </c>
      <c r="D165" s="18" t="s">
        <v>527</v>
      </c>
      <c r="E165" s="18" t="s">
        <v>639</v>
      </c>
      <c r="F165" s="18" t="s">
        <v>1502</v>
      </c>
      <c r="G165" s="18" t="s">
        <v>1503</v>
      </c>
      <c r="H165" s="23" t="s">
        <v>1050</v>
      </c>
      <c r="I165" s="20" t="s">
        <v>34</v>
      </c>
      <c r="J165" s="18" t="s">
        <v>1504</v>
      </c>
      <c r="K165" s="18" t="s">
        <v>1505</v>
      </c>
      <c r="L165" s="18" t="s">
        <v>1506</v>
      </c>
      <c r="M165" s="18" t="s">
        <v>1507</v>
      </c>
    </row>
    <row r="166" customFormat="false" ht="23.25" hidden="false" customHeight="true" outlineLevel="0" collapsed="false">
      <c r="A166" s="18" t="n">
        <v>175</v>
      </c>
      <c r="B166" s="18" t="s">
        <v>1562</v>
      </c>
      <c r="C166" s="18" t="s">
        <v>1501</v>
      </c>
      <c r="D166" s="18" t="s">
        <v>527</v>
      </c>
      <c r="E166" s="18" t="s">
        <v>639</v>
      </c>
      <c r="F166" s="18" t="s">
        <v>1502</v>
      </c>
      <c r="G166" s="18" t="s">
        <v>1503</v>
      </c>
      <c r="H166" s="23" t="s">
        <v>1050</v>
      </c>
      <c r="I166" s="20" t="s">
        <v>34</v>
      </c>
      <c r="J166" s="18" t="s">
        <v>1504</v>
      </c>
      <c r="K166" s="18" t="s">
        <v>1505</v>
      </c>
      <c r="L166" s="18" t="s">
        <v>1506</v>
      </c>
      <c r="M166" s="18" t="s">
        <v>1507</v>
      </c>
    </row>
    <row r="167" customFormat="false" ht="23.25" hidden="false" customHeight="true" outlineLevel="0" collapsed="false">
      <c r="A167" s="18" t="n">
        <v>176</v>
      </c>
      <c r="B167" s="18" t="s">
        <v>1563</v>
      </c>
      <c r="C167" s="18" t="s">
        <v>1501</v>
      </c>
      <c r="D167" s="18" t="s">
        <v>527</v>
      </c>
      <c r="E167" s="18" t="s">
        <v>642</v>
      </c>
      <c r="F167" s="18" t="s">
        <v>1502</v>
      </c>
      <c r="G167" s="18" t="s">
        <v>1503</v>
      </c>
      <c r="H167" s="23" t="s">
        <v>1050</v>
      </c>
      <c r="I167" s="20" t="s">
        <v>34</v>
      </c>
      <c r="J167" s="18" t="s">
        <v>1504</v>
      </c>
      <c r="K167" s="18" t="s">
        <v>1505</v>
      </c>
      <c r="L167" s="18" t="s">
        <v>1506</v>
      </c>
      <c r="M167" s="18" t="s">
        <v>1507</v>
      </c>
    </row>
    <row r="168" customFormat="false" ht="23.25" hidden="false" customHeight="true" outlineLevel="0" collapsed="false">
      <c r="A168" s="18" t="n">
        <v>177</v>
      </c>
      <c r="B168" s="18" t="s">
        <v>1564</v>
      </c>
      <c r="C168" s="18" t="s">
        <v>1501</v>
      </c>
      <c r="D168" s="18" t="s">
        <v>527</v>
      </c>
      <c r="E168" s="18" t="s">
        <v>571</v>
      </c>
      <c r="F168" s="18" t="s">
        <v>1502</v>
      </c>
      <c r="G168" s="18" t="s">
        <v>1503</v>
      </c>
      <c r="H168" s="23" t="s">
        <v>1050</v>
      </c>
      <c r="I168" s="20" t="s">
        <v>34</v>
      </c>
      <c r="J168" s="18" t="s">
        <v>1504</v>
      </c>
      <c r="K168" s="18" t="s">
        <v>1505</v>
      </c>
      <c r="L168" s="18" t="s">
        <v>1506</v>
      </c>
      <c r="M168" s="18" t="s">
        <v>1507</v>
      </c>
    </row>
    <row r="169" customFormat="false" ht="23.25" hidden="false" customHeight="true" outlineLevel="0" collapsed="false">
      <c r="A169" s="18" t="n">
        <v>178</v>
      </c>
      <c r="B169" s="18" t="s">
        <v>1565</v>
      </c>
      <c r="C169" s="18" t="s">
        <v>1501</v>
      </c>
      <c r="D169" s="18" t="s">
        <v>527</v>
      </c>
      <c r="E169" s="18" t="s">
        <v>645</v>
      </c>
      <c r="F169" s="18" t="s">
        <v>1502</v>
      </c>
      <c r="G169" s="18" t="s">
        <v>1503</v>
      </c>
      <c r="H169" s="23" t="s">
        <v>1050</v>
      </c>
      <c r="I169" s="20" t="s">
        <v>34</v>
      </c>
      <c r="J169" s="18" t="s">
        <v>1504</v>
      </c>
      <c r="K169" s="18" t="s">
        <v>1505</v>
      </c>
      <c r="L169" s="18" t="s">
        <v>1506</v>
      </c>
      <c r="M169" s="18" t="s">
        <v>1507</v>
      </c>
    </row>
    <row r="170" customFormat="false" ht="23.25" hidden="false" customHeight="true" outlineLevel="0" collapsed="false">
      <c r="A170" s="18" t="n">
        <v>179</v>
      </c>
      <c r="B170" s="18" t="s">
        <v>1566</v>
      </c>
      <c r="C170" s="18" t="s">
        <v>1501</v>
      </c>
      <c r="D170" s="18" t="s">
        <v>527</v>
      </c>
      <c r="E170" s="18" t="s">
        <v>647</v>
      </c>
      <c r="F170" s="18" t="s">
        <v>1502</v>
      </c>
      <c r="G170" s="18" t="s">
        <v>1503</v>
      </c>
      <c r="H170" s="23" t="s">
        <v>1050</v>
      </c>
      <c r="I170" s="20" t="s">
        <v>34</v>
      </c>
      <c r="J170" s="18" t="s">
        <v>1504</v>
      </c>
      <c r="K170" s="18" t="s">
        <v>1505</v>
      </c>
      <c r="L170" s="18" t="s">
        <v>1506</v>
      </c>
      <c r="M170" s="18" t="s">
        <v>1507</v>
      </c>
    </row>
    <row r="171" customFormat="false" ht="23.25" hidden="false" customHeight="true" outlineLevel="0" collapsed="false">
      <c r="A171" s="18" t="n">
        <v>180</v>
      </c>
      <c r="B171" s="18" t="s">
        <v>1567</v>
      </c>
      <c r="C171" s="18" t="s">
        <v>1501</v>
      </c>
      <c r="D171" s="18" t="s">
        <v>527</v>
      </c>
      <c r="E171" s="18" t="s">
        <v>649</v>
      </c>
      <c r="F171" s="18" t="s">
        <v>1502</v>
      </c>
      <c r="G171" s="18" t="s">
        <v>1503</v>
      </c>
      <c r="H171" s="23" t="s">
        <v>1050</v>
      </c>
      <c r="I171" s="20" t="s">
        <v>34</v>
      </c>
      <c r="J171" s="18" t="s">
        <v>1504</v>
      </c>
      <c r="K171" s="18" t="s">
        <v>1505</v>
      </c>
      <c r="L171" s="18" t="s">
        <v>1506</v>
      </c>
      <c r="M171" s="18" t="s">
        <v>1507</v>
      </c>
    </row>
    <row r="172" customFormat="false" ht="23.25" hidden="false" customHeight="true" outlineLevel="0" collapsed="false">
      <c r="A172" s="18" t="n">
        <v>181</v>
      </c>
      <c r="B172" s="18" t="s">
        <v>1568</v>
      </c>
      <c r="C172" s="18" t="s">
        <v>1501</v>
      </c>
      <c r="D172" s="18" t="s">
        <v>527</v>
      </c>
      <c r="E172" s="18" t="s">
        <v>671</v>
      </c>
      <c r="F172" s="18" t="s">
        <v>1502</v>
      </c>
      <c r="G172" s="18" t="s">
        <v>1503</v>
      </c>
      <c r="H172" s="23" t="s">
        <v>1050</v>
      </c>
      <c r="I172" s="20" t="s">
        <v>34</v>
      </c>
      <c r="J172" s="18" t="s">
        <v>1504</v>
      </c>
      <c r="K172" s="18" t="s">
        <v>1505</v>
      </c>
      <c r="L172" s="18" t="s">
        <v>1506</v>
      </c>
      <c r="M172" s="18" t="s">
        <v>1507</v>
      </c>
    </row>
    <row r="173" customFormat="false" ht="23.25" hidden="false" customHeight="true" outlineLevel="0" collapsed="false">
      <c r="A173" s="18" t="n">
        <v>182</v>
      </c>
      <c r="B173" s="18" t="s">
        <v>1569</v>
      </c>
      <c r="C173" s="18" t="s">
        <v>1501</v>
      </c>
      <c r="D173" s="18" t="s">
        <v>527</v>
      </c>
      <c r="E173" s="18" t="s">
        <v>637</v>
      </c>
      <c r="F173" s="18" t="s">
        <v>1502</v>
      </c>
      <c r="G173" s="18" t="s">
        <v>1503</v>
      </c>
      <c r="H173" s="23" t="s">
        <v>1050</v>
      </c>
      <c r="I173" s="20" t="s">
        <v>34</v>
      </c>
      <c r="J173" s="18" t="s">
        <v>1504</v>
      </c>
      <c r="K173" s="18" t="s">
        <v>1505</v>
      </c>
      <c r="L173" s="18" t="s">
        <v>1506</v>
      </c>
      <c r="M173" s="18" t="s">
        <v>1507</v>
      </c>
    </row>
    <row r="174" customFormat="false" ht="23.25" hidden="false" customHeight="true" outlineLevel="0" collapsed="false">
      <c r="A174" s="18" t="n">
        <v>183</v>
      </c>
      <c r="B174" s="18" t="s">
        <v>1570</v>
      </c>
      <c r="C174" s="18" t="s">
        <v>1501</v>
      </c>
      <c r="D174" s="18" t="s">
        <v>527</v>
      </c>
      <c r="E174" s="18" t="s">
        <v>639</v>
      </c>
      <c r="F174" s="18" t="s">
        <v>1502</v>
      </c>
      <c r="G174" s="18" t="s">
        <v>1503</v>
      </c>
      <c r="H174" s="23" t="s">
        <v>1050</v>
      </c>
      <c r="I174" s="20" t="s">
        <v>34</v>
      </c>
      <c r="J174" s="18" t="s">
        <v>1504</v>
      </c>
      <c r="K174" s="18" t="s">
        <v>1505</v>
      </c>
      <c r="L174" s="18" t="s">
        <v>1506</v>
      </c>
      <c r="M174" s="18" t="s">
        <v>1507</v>
      </c>
    </row>
    <row r="175" customFormat="false" ht="23.25" hidden="false" customHeight="true" outlineLevel="0" collapsed="false">
      <c r="A175" s="18" t="n">
        <v>184</v>
      </c>
      <c r="B175" s="18" t="s">
        <v>1571</v>
      </c>
      <c r="C175" s="18" t="s">
        <v>1501</v>
      </c>
      <c r="D175" s="18" t="s">
        <v>527</v>
      </c>
      <c r="E175" s="18" t="s">
        <v>642</v>
      </c>
      <c r="F175" s="18" t="s">
        <v>1502</v>
      </c>
      <c r="G175" s="18" t="s">
        <v>1503</v>
      </c>
      <c r="H175" s="23" t="s">
        <v>1050</v>
      </c>
      <c r="I175" s="20" t="s">
        <v>34</v>
      </c>
      <c r="J175" s="18" t="s">
        <v>1504</v>
      </c>
      <c r="K175" s="18" t="s">
        <v>1505</v>
      </c>
      <c r="L175" s="18" t="s">
        <v>1506</v>
      </c>
      <c r="M175" s="18" t="s">
        <v>1507</v>
      </c>
    </row>
    <row r="176" customFormat="false" ht="23.25" hidden="false" customHeight="true" outlineLevel="0" collapsed="false">
      <c r="A176" s="18" t="n">
        <v>185</v>
      </c>
      <c r="B176" s="18" t="s">
        <v>1572</v>
      </c>
      <c r="C176" s="18" t="s">
        <v>1501</v>
      </c>
      <c r="D176" s="18" t="s">
        <v>527</v>
      </c>
      <c r="E176" s="18" t="s">
        <v>571</v>
      </c>
      <c r="F176" s="18" t="s">
        <v>1502</v>
      </c>
      <c r="G176" s="18" t="s">
        <v>1503</v>
      </c>
      <c r="H176" s="23" t="s">
        <v>1050</v>
      </c>
      <c r="I176" s="20" t="s">
        <v>34</v>
      </c>
      <c r="J176" s="18" t="s">
        <v>1504</v>
      </c>
      <c r="K176" s="18" t="s">
        <v>1505</v>
      </c>
      <c r="L176" s="18" t="s">
        <v>1506</v>
      </c>
      <c r="M176" s="18" t="s">
        <v>1507</v>
      </c>
    </row>
    <row r="177" customFormat="false" ht="23.25" hidden="false" customHeight="true" outlineLevel="0" collapsed="false">
      <c r="A177" s="18" t="n">
        <v>186</v>
      </c>
      <c r="B177" s="18" t="s">
        <v>1573</v>
      </c>
      <c r="C177" s="18" t="s">
        <v>1501</v>
      </c>
      <c r="D177" s="18" t="s">
        <v>527</v>
      </c>
      <c r="E177" s="18" t="s">
        <v>645</v>
      </c>
      <c r="F177" s="18" t="s">
        <v>1502</v>
      </c>
      <c r="G177" s="18" t="s">
        <v>1503</v>
      </c>
      <c r="H177" s="23" t="s">
        <v>1050</v>
      </c>
      <c r="I177" s="20" t="s">
        <v>34</v>
      </c>
      <c r="J177" s="18" t="s">
        <v>1504</v>
      </c>
      <c r="K177" s="18" t="s">
        <v>1505</v>
      </c>
      <c r="L177" s="18" t="s">
        <v>1506</v>
      </c>
      <c r="M177" s="18" t="s">
        <v>1507</v>
      </c>
    </row>
    <row r="178" customFormat="false" ht="23.25" hidden="false" customHeight="true" outlineLevel="0" collapsed="false">
      <c r="A178" s="18" t="n">
        <v>187</v>
      </c>
      <c r="B178" s="18" t="s">
        <v>1574</v>
      </c>
      <c r="C178" s="18" t="s">
        <v>1501</v>
      </c>
      <c r="D178" s="18" t="s">
        <v>527</v>
      </c>
      <c r="E178" s="18" t="s">
        <v>647</v>
      </c>
      <c r="F178" s="18" t="s">
        <v>1502</v>
      </c>
      <c r="G178" s="18" t="s">
        <v>1503</v>
      </c>
      <c r="H178" s="23" t="s">
        <v>1050</v>
      </c>
      <c r="I178" s="20" t="s">
        <v>34</v>
      </c>
      <c r="J178" s="18" t="s">
        <v>1504</v>
      </c>
      <c r="K178" s="18" t="s">
        <v>1505</v>
      </c>
      <c r="L178" s="18" t="s">
        <v>1506</v>
      </c>
      <c r="M178" s="18" t="s">
        <v>1507</v>
      </c>
    </row>
    <row r="179" customFormat="false" ht="23.25" hidden="false" customHeight="true" outlineLevel="0" collapsed="false">
      <c r="A179" s="18" t="n">
        <v>188</v>
      </c>
      <c r="B179" s="18" t="s">
        <v>1575</v>
      </c>
      <c r="C179" s="18" t="s">
        <v>1501</v>
      </c>
      <c r="D179" s="18" t="s">
        <v>527</v>
      </c>
      <c r="E179" s="18" t="s">
        <v>649</v>
      </c>
      <c r="F179" s="18" t="s">
        <v>1502</v>
      </c>
      <c r="G179" s="18" t="s">
        <v>1503</v>
      </c>
      <c r="H179" s="23" t="s">
        <v>1050</v>
      </c>
      <c r="I179" s="20" t="s">
        <v>34</v>
      </c>
      <c r="J179" s="18" t="s">
        <v>1504</v>
      </c>
      <c r="K179" s="18" t="s">
        <v>1505</v>
      </c>
      <c r="L179" s="18" t="s">
        <v>1506</v>
      </c>
      <c r="M179" s="18" t="s">
        <v>1507</v>
      </c>
    </row>
    <row r="180" customFormat="false" ht="23.25" hidden="false" customHeight="true" outlineLevel="0" collapsed="false">
      <c r="A180" s="18" t="n">
        <v>189</v>
      </c>
      <c r="B180" s="18" t="s">
        <v>1576</v>
      </c>
      <c r="C180" s="18" t="s">
        <v>1501</v>
      </c>
      <c r="D180" s="18" t="s">
        <v>527</v>
      </c>
      <c r="E180" s="18" t="s">
        <v>702</v>
      </c>
      <c r="F180" s="18" t="s">
        <v>1502</v>
      </c>
      <c r="G180" s="18" t="s">
        <v>1503</v>
      </c>
      <c r="H180" s="23" t="s">
        <v>1050</v>
      </c>
      <c r="I180" s="20" t="s">
        <v>34</v>
      </c>
      <c r="J180" s="18" t="s">
        <v>1504</v>
      </c>
      <c r="K180" s="18" t="s">
        <v>1505</v>
      </c>
      <c r="L180" s="18" t="s">
        <v>1506</v>
      </c>
      <c r="M180" s="18" t="s">
        <v>1507</v>
      </c>
    </row>
    <row r="181" customFormat="false" ht="23.25" hidden="false" customHeight="true" outlineLevel="0" collapsed="false">
      <c r="A181" s="18" t="n">
        <v>190</v>
      </c>
      <c r="B181" s="18" t="s">
        <v>1577</v>
      </c>
      <c r="C181" s="18" t="s">
        <v>1501</v>
      </c>
      <c r="D181" s="18" t="s">
        <v>527</v>
      </c>
      <c r="E181" s="18" t="s">
        <v>637</v>
      </c>
      <c r="F181" s="18" t="s">
        <v>1502</v>
      </c>
      <c r="G181" s="18" t="s">
        <v>1503</v>
      </c>
      <c r="H181" s="23" t="s">
        <v>1050</v>
      </c>
      <c r="I181" s="20" t="s">
        <v>34</v>
      </c>
      <c r="J181" s="18" t="s">
        <v>1504</v>
      </c>
      <c r="K181" s="18" t="s">
        <v>1505</v>
      </c>
      <c r="L181" s="18" t="s">
        <v>1506</v>
      </c>
      <c r="M181" s="18" t="s">
        <v>1507</v>
      </c>
    </row>
    <row r="182" customFormat="false" ht="23.25" hidden="false" customHeight="true" outlineLevel="0" collapsed="false">
      <c r="A182" s="18" t="n">
        <v>191</v>
      </c>
      <c r="B182" s="18" t="s">
        <v>1578</v>
      </c>
      <c r="C182" s="18" t="s">
        <v>1501</v>
      </c>
      <c r="D182" s="18" t="s">
        <v>527</v>
      </c>
      <c r="E182" s="18" t="s">
        <v>639</v>
      </c>
      <c r="F182" s="18" t="s">
        <v>1502</v>
      </c>
      <c r="G182" s="18" t="s">
        <v>1503</v>
      </c>
      <c r="H182" s="23" t="s">
        <v>1050</v>
      </c>
      <c r="I182" s="20" t="s">
        <v>34</v>
      </c>
      <c r="J182" s="18" t="s">
        <v>1504</v>
      </c>
      <c r="K182" s="18" t="s">
        <v>1505</v>
      </c>
      <c r="L182" s="18" t="s">
        <v>1506</v>
      </c>
      <c r="M182" s="18" t="s">
        <v>1507</v>
      </c>
    </row>
    <row r="183" customFormat="false" ht="23.25" hidden="false" customHeight="true" outlineLevel="0" collapsed="false">
      <c r="A183" s="18" t="n">
        <v>192</v>
      </c>
      <c r="B183" s="18" t="s">
        <v>1579</v>
      </c>
      <c r="C183" s="18" t="s">
        <v>1501</v>
      </c>
      <c r="D183" s="18" t="s">
        <v>527</v>
      </c>
      <c r="E183" s="18" t="s">
        <v>642</v>
      </c>
      <c r="F183" s="18" t="s">
        <v>1502</v>
      </c>
      <c r="G183" s="18" t="s">
        <v>1503</v>
      </c>
      <c r="H183" s="23" t="s">
        <v>1050</v>
      </c>
      <c r="I183" s="20" t="s">
        <v>34</v>
      </c>
      <c r="J183" s="18" t="s">
        <v>1504</v>
      </c>
      <c r="K183" s="18" t="s">
        <v>1505</v>
      </c>
      <c r="L183" s="18" t="s">
        <v>1506</v>
      </c>
      <c r="M183" s="18" t="s">
        <v>1507</v>
      </c>
    </row>
    <row r="184" customFormat="false" ht="23.25" hidden="false" customHeight="true" outlineLevel="0" collapsed="false">
      <c r="A184" s="18" t="n">
        <v>193</v>
      </c>
      <c r="B184" s="18" t="s">
        <v>1580</v>
      </c>
      <c r="C184" s="18" t="s">
        <v>1501</v>
      </c>
      <c r="D184" s="18" t="s">
        <v>527</v>
      </c>
      <c r="E184" s="18" t="s">
        <v>571</v>
      </c>
      <c r="F184" s="18" t="s">
        <v>1502</v>
      </c>
      <c r="G184" s="18" t="s">
        <v>1503</v>
      </c>
      <c r="H184" s="23" t="s">
        <v>1050</v>
      </c>
      <c r="I184" s="20" t="s">
        <v>34</v>
      </c>
      <c r="J184" s="18" t="s">
        <v>1504</v>
      </c>
      <c r="K184" s="18" t="s">
        <v>1505</v>
      </c>
      <c r="L184" s="18" t="s">
        <v>1506</v>
      </c>
      <c r="M184" s="18" t="s">
        <v>1507</v>
      </c>
    </row>
    <row r="185" customFormat="false" ht="23.25" hidden="false" customHeight="true" outlineLevel="0" collapsed="false">
      <c r="A185" s="18" t="n">
        <v>194</v>
      </c>
      <c r="B185" s="18" t="s">
        <v>1581</v>
      </c>
      <c r="C185" s="18" t="s">
        <v>1501</v>
      </c>
      <c r="D185" s="18" t="s">
        <v>527</v>
      </c>
      <c r="E185" s="18" t="s">
        <v>645</v>
      </c>
      <c r="F185" s="18" t="s">
        <v>1502</v>
      </c>
      <c r="G185" s="18" t="s">
        <v>1503</v>
      </c>
      <c r="H185" s="23" t="s">
        <v>1050</v>
      </c>
      <c r="I185" s="20" t="s">
        <v>34</v>
      </c>
      <c r="J185" s="18" t="s">
        <v>1504</v>
      </c>
      <c r="K185" s="18" t="s">
        <v>1505</v>
      </c>
      <c r="L185" s="18" t="s">
        <v>1506</v>
      </c>
      <c r="M185" s="18" t="s">
        <v>1507</v>
      </c>
    </row>
    <row r="186" customFormat="false" ht="23.25" hidden="false" customHeight="true" outlineLevel="0" collapsed="false">
      <c r="A186" s="18" t="n">
        <v>195</v>
      </c>
      <c r="B186" s="18" t="s">
        <v>1582</v>
      </c>
      <c r="C186" s="18" t="s">
        <v>1501</v>
      </c>
      <c r="D186" s="18" t="s">
        <v>527</v>
      </c>
      <c r="E186" s="18" t="s">
        <v>647</v>
      </c>
      <c r="F186" s="18" t="s">
        <v>1502</v>
      </c>
      <c r="G186" s="18" t="s">
        <v>1503</v>
      </c>
      <c r="H186" s="23" t="s">
        <v>1050</v>
      </c>
      <c r="I186" s="20" t="s">
        <v>34</v>
      </c>
      <c r="J186" s="18" t="s">
        <v>1504</v>
      </c>
      <c r="K186" s="18" t="s">
        <v>1505</v>
      </c>
      <c r="L186" s="18" t="s">
        <v>1506</v>
      </c>
      <c r="M186" s="18" t="s">
        <v>1507</v>
      </c>
    </row>
    <row r="187" customFormat="false" ht="23.25" hidden="false" customHeight="true" outlineLevel="0" collapsed="false">
      <c r="A187" s="18" t="n">
        <v>196</v>
      </c>
      <c r="B187" s="18" t="s">
        <v>1583</v>
      </c>
      <c r="C187" s="18" t="s">
        <v>1501</v>
      </c>
      <c r="D187" s="18" t="s">
        <v>527</v>
      </c>
      <c r="E187" s="18" t="s">
        <v>649</v>
      </c>
      <c r="F187" s="18" t="s">
        <v>1502</v>
      </c>
      <c r="G187" s="18" t="s">
        <v>1503</v>
      </c>
      <c r="H187" s="23" t="s">
        <v>1050</v>
      </c>
      <c r="I187" s="20" t="s">
        <v>34</v>
      </c>
      <c r="J187" s="18" t="s">
        <v>1504</v>
      </c>
      <c r="K187" s="18" t="s">
        <v>1505</v>
      </c>
      <c r="L187" s="18" t="s">
        <v>1506</v>
      </c>
      <c r="M187" s="18" t="s">
        <v>1507</v>
      </c>
    </row>
    <row r="188" customFormat="false" ht="23.25" hidden="false" customHeight="true" outlineLevel="0" collapsed="false">
      <c r="A188" s="18" t="n">
        <v>197</v>
      </c>
      <c r="B188" s="18" t="s">
        <v>1584</v>
      </c>
      <c r="C188" s="18" t="s">
        <v>1501</v>
      </c>
      <c r="D188" s="18" t="s">
        <v>527</v>
      </c>
      <c r="E188" s="18" t="s">
        <v>717</v>
      </c>
      <c r="F188" s="18" t="s">
        <v>1502</v>
      </c>
      <c r="G188" s="18" t="s">
        <v>1503</v>
      </c>
      <c r="H188" s="23" t="s">
        <v>1050</v>
      </c>
      <c r="I188" s="20" t="s">
        <v>34</v>
      </c>
      <c r="J188" s="18" t="s">
        <v>1504</v>
      </c>
      <c r="K188" s="18" t="s">
        <v>1505</v>
      </c>
      <c r="L188" s="18" t="s">
        <v>1506</v>
      </c>
      <c r="M188" s="18" t="s">
        <v>1507</v>
      </c>
    </row>
    <row r="189" customFormat="false" ht="23.25" hidden="false" customHeight="true" outlineLevel="0" collapsed="false">
      <c r="A189" s="18" t="n">
        <v>198</v>
      </c>
      <c r="B189" s="18" t="s">
        <v>1585</v>
      </c>
      <c r="C189" s="18" t="s">
        <v>1501</v>
      </c>
      <c r="D189" s="18" t="s">
        <v>527</v>
      </c>
      <c r="E189" s="18" t="s">
        <v>720</v>
      </c>
      <c r="F189" s="18" t="s">
        <v>1502</v>
      </c>
      <c r="G189" s="18" t="s">
        <v>1503</v>
      </c>
      <c r="H189" s="23" t="s">
        <v>1050</v>
      </c>
      <c r="I189" s="20" t="s">
        <v>34</v>
      </c>
      <c r="J189" s="18" t="s">
        <v>1504</v>
      </c>
      <c r="K189" s="18" t="s">
        <v>1505</v>
      </c>
      <c r="L189" s="18" t="s">
        <v>1506</v>
      </c>
      <c r="M189" s="18" t="s">
        <v>1507</v>
      </c>
    </row>
    <row r="190" customFormat="false" ht="23.25" hidden="false" customHeight="true" outlineLevel="0" collapsed="false">
      <c r="A190" s="18" t="n">
        <v>199</v>
      </c>
      <c r="B190" s="18" t="s">
        <v>1586</v>
      </c>
      <c r="C190" s="18" t="s">
        <v>1501</v>
      </c>
      <c r="D190" s="18" t="s">
        <v>527</v>
      </c>
      <c r="E190" s="18" t="s">
        <v>722</v>
      </c>
      <c r="F190" s="18" t="s">
        <v>1502</v>
      </c>
      <c r="G190" s="18" t="s">
        <v>1503</v>
      </c>
      <c r="H190" s="23" t="s">
        <v>1050</v>
      </c>
      <c r="I190" s="20" t="s">
        <v>34</v>
      </c>
      <c r="J190" s="18" t="s">
        <v>1504</v>
      </c>
      <c r="K190" s="18" t="s">
        <v>1505</v>
      </c>
      <c r="L190" s="18" t="s">
        <v>1506</v>
      </c>
      <c r="M190" s="18" t="s">
        <v>1507</v>
      </c>
    </row>
    <row r="191" customFormat="false" ht="23.25" hidden="false" customHeight="true" outlineLevel="0" collapsed="false">
      <c r="A191" s="18" t="n">
        <v>200</v>
      </c>
      <c r="B191" s="18" t="s">
        <v>1587</v>
      </c>
      <c r="C191" s="18" t="s">
        <v>1501</v>
      </c>
      <c r="D191" s="18" t="s">
        <v>527</v>
      </c>
      <c r="E191" s="18" t="s">
        <v>724</v>
      </c>
      <c r="F191" s="18" t="s">
        <v>1502</v>
      </c>
      <c r="G191" s="18" t="s">
        <v>1503</v>
      </c>
      <c r="H191" s="23" t="s">
        <v>1050</v>
      </c>
      <c r="I191" s="20" t="s">
        <v>34</v>
      </c>
      <c r="J191" s="18" t="s">
        <v>1504</v>
      </c>
      <c r="K191" s="18" t="s">
        <v>1505</v>
      </c>
      <c r="L191" s="18" t="s">
        <v>1506</v>
      </c>
      <c r="M191" s="18" t="s">
        <v>1507</v>
      </c>
    </row>
    <row r="192" customFormat="false" ht="23.25" hidden="false" customHeight="true" outlineLevel="0" collapsed="false">
      <c r="A192" s="18" t="n">
        <v>201</v>
      </c>
      <c r="B192" s="18" t="s">
        <v>1588</v>
      </c>
      <c r="C192" s="18" t="s">
        <v>1501</v>
      </c>
      <c r="D192" s="18" t="s">
        <v>527</v>
      </c>
      <c r="E192" s="18" t="s">
        <v>726</v>
      </c>
      <c r="F192" s="18" t="s">
        <v>1502</v>
      </c>
      <c r="G192" s="18" t="s">
        <v>1503</v>
      </c>
      <c r="H192" s="23" t="s">
        <v>1050</v>
      </c>
      <c r="I192" s="20" t="s">
        <v>34</v>
      </c>
      <c r="J192" s="18" t="s">
        <v>1504</v>
      </c>
      <c r="K192" s="18" t="s">
        <v>1505</v>
      </c>
      <c r="L192" s="18" t="s">
        <v>1506</v>
      </c>
      <c r="M192" s="18" t="s">
        <v>1507</v>
      </c>
    </row>
    <row r="193" customFormat="false" ht="23.25" hidden="false" customHeight="true" outlineLevel="0" collapsed="false">
      <c r="A193" s="18" t="n">
        <v>202</v>
      </c>
      <c r="B193" s="18" t="s">
        <v>1589</v>
      </c>
      <c r="C193" s="18" t="s">
        <v>1501</v>
      </c>
      <c r="D193" s="18" t="s">
        <v>527</v>
      </c>
      <c r="E193" s="18" t="s">
        <v>728</v>
      </c>
      <c r="F193" s="18" t="s">
        <v>1502</v>
      </c>
      <c r="G193" s="18" t="s">
        <v>1503</v>
      </c>
      <c r="H193" s="23" t="s">
        <v>1050</v>
      </c>
      <c r="I193" s="20" t="s">
        <v>34</v>
      </c>
      <c r="J193" s="18" t="s">
        <v>1504</v>
      </c>
      <c r="K193" s="18" t="s">
        <v>1505</v>
      </c>
      <c r="L193" s="18" t="s">
        <v>1506</v>
      </c>
      <c r="M193" s="18" t="s">
        <v>1507</v>
      </c>
    </row>
    <row r="194" customFormat="false" ht="23.25" hidden="false" customHeight="true" outlineLevel="0" collapsed="false">
      <c r="A194" s="18" t="n">
        <v>203</v>
      </c>
      <c r="B194" s="18" t="s">
        <v>1590</v>
      </c>
      <c r="C194" s="18" t="s">
        <v>1501</v>
      </c>
      <c r="D194" s="18" t="s">
        <v>527</v>
      </c>
      <c r="E194" s="18" t="s">
        <v>731</v>
      </c>
      <c r="F194" s="18" t="s">
        <v>1502</v>
      </c>
      <c r="G194" s="18" t="s">
        <v>1503</v>
      </c>
      <c r="H194" s="23" t="s">
        <v>1050</v>
      </c>
      <c r="I194" s="20" t="s">
        <v>34</v>
      </c>
      <c r="J194" s="18" t="s">
        <v>1504</v>
      </c>
      <c r="K194" s="18" t="s">
        <v>1505</v>
      </c>
      <c r="L194" s="18" t="s">
        <v>1506</v>
      </c>
      <c r="M194" s="18" t="s">
        <v>1507</v>
      </c>
    </row>
    <row r="195" customFormat="false" ht="23.25" hidden="false" customHeight="true" outlineLevel="0" collapsed="false">
      <c r="A195" s="18" t="n">
        <v>204</v>
      </c>
      <c r="B195" s="18" t="s">
        <v>1591</v>
      </c>
      <c r="C195" s="18" t="s">
        <v>1501</v>
      </c>
      <c r="D195" s="18" t="s">
        <v>527</v>
      </c>
      <c r="E195" s="18" t="s">
        <v>649</v>
      </c>
      <c r="F195" s="18" t="s">
        <v>1502</v>
      </c>
      <c r="G195" s="18" t="s">
        <v>1503</v>
      </c>
      <c r="H195" s="23" t="s">
        <v>1050</v>
      </c>
      <c r="I195" s="20" t="s">
        <v>34</v>
      </c>
      <c r="J195" s="18" t="s">
        <v>1504</v>
      </c>
      <c r="K195" s="18" t="s">
        <v>1505</v>
      </c>
      <c r="L195" s="18" t="s">
        <v>1506</v>
      </c>
      <c r="M195" s="18" t="s">
        <v>1507</v>
      </c>
    </row>
    <row r="196" customFormat="false" ht="23.25" hidden="false" customHeight="true" outlineLevel="0" collapsed="false">
      <c r="A196" s="18" t="n">
        <v>205</v>
      </c>
      <c r="B196" s="18" t="s">
        <v>1592</v>
      </c>
      <c r="C196" s="18" t="s">
        <v>1501</v>
      </c>
      <c r="D196" s="18" t="s">
        <v>527</v>
      </c>
      <c r="E196" s="18" t="s">
        <v>735</v>
      </c>
      <c r="F196" s="18" t="s">
        <v>1502</v>
      </c>
      <c r="G196" s="18" t="s">
        <v>1503</v>
      </c>
      <c r="H196" s="23" t="s">
        <v>1050</v>
      </c>
      <c r="I196" s="20" t="s">
        <v>34</v>
      </c>
      <c r="J196" s="18" t="s">
        <v>1504</v>
      </c>
      <c r="K196" s="18" t="s">
        <v>1505</v>
      </c>
      <c r="L196" s="18" t="s">
        <v>1506</v>
      </c>
      <c r="M196" s="18" t="s">
        <v>1507</v>
      </c>
    </row>
    <row r="197" customFormat="false" ht="23.25" hidden="false" customHeight="true" outlineLevel="0" collapsed="false">
      <c r="A197" s="18" t="n">
        <v>206</v>
      </c>
      <c r="B197" s="18" t="s">
        <v>1593</v>
      </c>
      <c r="C197" s="18" t="s">
        <v>1501</v>
      </c>
      <c r="D197" s="18" t="s">
        <v>527</v>
      </c>
      <c r="E197" s="18" t="s">
        <v>737</v>
      </c>
      <c r="F197" s="18" t="s">
        <v>1502</v>
      </c>
      <c r="G197" s="18" t="s">
        <v>1503</v>
      </c>
      <c r="H197" s="23" t="s">
        <v>1050</v>
      </c>
      <c r="I197" s="20" t="s">
        <v>34</v>
      </c>
      <c r="J197" s="18" t="s">
        <v>1504</v>
      </c>
      <c r="K197" s="18" t="s">
        <v>1505</v>
      </c>
      <c r="L197" s="18" t="s">
        <v>1506</v>
      </c>
      <c r="M197" s="18" t="s">
        <v>1507</v>
      </c>
    </row>
    <row r="198" customFormat="false" ht="23.25" hidden="false" customHeight="true" outlineLevel="0" collapsed="false">
      <c r="A198" s="18" t="n">
        <v>207</v>
      </c>
      <c r="B198" s="18" t="s">
        <v>1594</v>
      </c>
      <c r="C198" s="18" t="s">
        <v>1501</v>
      </c>
      <c r="D198" s="18" t="s">
        <v>527</v>
      </c>
      <c r="E198" s="18" t="s">
        <v>739</v>
      </c>
      <c r="F198" s="18" t="s">
        <v>1502</v>
      </c>
      <c r="G198" s="18" t="s">
        <v>1503</v>
      </c>
      <c r="H198" s="23" t="s">
        <v>1050</v>
      </c>
      <c r="I198" s="20" t="s">
        <v>34</v>
      </c>
      <c r="J198" s="18" t="s">
        <v>1504</v>
      </c>
      <c r="K198" s="18" t="s">
        <v>1505</v>
      </c>
      <c r="L198" s="18" t="s">
        <v>1506</v>
      </c>
      <c r="M198" s="18" t="s">
        <v>1507</v>
      </c>
    </row>
    <row r="199" customFormat="false" ht="23.25" hidden="false" customHeight="true" outlineLevel="0" collapsed="false">
      <c r="A199" s="18" t="n">
        <v>208</v>
      </c>
      <c r="B199" s="18" t="s">
        <v>1595</v>
      </c>
      <c r="C199" s="18" t="s">
        <v>1501</v>
      </c>
      <c r="D199" s="18" t="s">
        <v>527</v>
      </c>
      <c r="E199" s="18" t="s">
        <v>742</v>
      </c>
      <c r="F199" s="18" t="s">
        <v>1502</v>
      </c>
      <c r="G199" s="18" t="s">
        <v>1503</v>
      </c>
      <c r="H199" s="23" t="s">
        <v>1050</v>
      </c>
      <c r="I199" s="20" t="s">
        <v>34</v>
      </c>
      <c r="J199" s="18" t="s">
        <v>1504</v>
      </c>
      <c r="K199" s="18" t="s">
        <v>1505</v>
      </c>
      <c r="L199" s="18" t="s">
        <v>1506</v>
      </c>
      <c r="M199" s="18" t="s">
        <v>1507</v>
      </c>
    </row>
    <row r="200" customFormat="false" ht="23.25" hidden="false" customHeight="true" outlineLevel="0" collapsed="false">
      <c r="A200" s="18" t="n">
        <v>209</v>
      </c>
      <c r="B200" s="18" t="s">
        <v>1596</v>
      </c>
      <c r="C200" s="18" t="s">
        <v>1501</v>
      </c>
      <c r="D200" s="18" t="s">
        <v>527</v>
      </c>
      <c r="E200" s="18" t="s">
        <v>649</v>
      </c>
      <c r="F200" s="18" t="s">
        <v>1502</v>
      </c>
      <c r="G200" s="18" t="s">
        <v>1503</v>
      </c>
      <c r="H200" s="23" t="s">
        <v>1050</v>
      </c>
      <c r="I200" s="20" t="s">
        <v>34</v>
      </c>
      <c r="J200" s="18" t="s">
        <v>1504</v>
      </c>
      <c r="K200" s="18" t="s">
        <v>1505</v>
      </c>
      <c r="L200" s="18" t="s">
        <v>1506</v>
      </c>
      <c r="M200" s="18" t="s">
        <v>1507</v>
      </c>
    </row>
    <row r="201" customFormat="false" ht="23.25" hidden="false" customHeight="true" outlineLevel="0" collapsed="false">
      <c r="A201" s="18" t="n">
        <v>210</v>
      </c>
      <c r="B201" s="18" t="s">
        <v>1597</v>
      </c>
      <c r="C201" s="18" t="s">
        <v>1501</v>
      </c>
      <c r="D201" s="18" t="s">
        <v>527</v>
      </c>
      <c r="E201" s="18" t="s">
        <v>748</v>
      </c>
      <c r="F201" s="18" t="s">
        <v>1502</v>
      </c>
      <c r="G201" s="18" t="s">
        <v>1503</v>
      </c>
      <c r="H201" s="23" t="s">
        <v>1050</v>
      </c>
      <c r="I201" s="20" t="s">
        <v>34</v>
      </c>
      <c r="J201" s="18" t="s">
        <v>1504</v>
      </c>
      <c r="K201" s="18" t="s">
        <v>1505</v>
      </c>
      <c r="L201" s="18" t="s">
        <v>1506</v>
      </c>
      <c r="M201" s="18" t="s">
        <v>1507</v>
      </c>
    </row>
    <row r="202" customFormat="false" ht="23.25" hidden="false" customHeight="true" outlineLevel="0" collapsed="false">
      <c r="A202" s="18" t="n">
        <v>211</v>
      </c>
      <c r="B202" s="18" t="s">
        <v>1598</v>
      </c>
      <c r="C202" s="18" t="s">
        <v>1501</v>
      </c>
      <c r="D202" s="18" t="s">
        <v>527</v>
      </c>
      <c r="E202" s="18" t="s">
        <v>752</v>
      </c>
      <c r="F202" s="18" t="s">
        <v>1502</v>
      </c>
      <c r="G202" s="18" t="s">
        <v>1503</v>
      </c>
      <c r="H202" s="23" t="s">
        <v>1050</v>
      </c>
      <c r="I202" s="20" t="s">
        <v>34</v>
      </c>
      <c r="J202" s="18" t="s">
        <v>1504</v>
      </c>
      <c r="K202" s="18" t="s">
        <v>1505</v>
      </c>
      <c r="L202" s="18" t="s">
        <v>1506</v>
      </c>
      <c r="M202" s="18" t="s">
        <v>1507</v>
      </c>
    </row>
    <row r="203" customFormat="false" ht="23.25" hidden="false" customHeight="true" outlineLevel="0" collapsed="false">
      <c r="A203" s="18" t="n">
        <v>212</v>
      </c>
      <c r="B203" s="18" t="s">
        <v>1599</v>
      </c>
      <c r="C203" s="18" t="s">
        <v>1501</v>
      </c>
      <c r="D203" s="18" t="s">
        <v>527</v>
      </c>
      <c r="E203" s="18" t="s">
        <v>754</v>
      </c>
      <c r="F203" s="18" t="s">
        <v>1502</v>
      </c>
      <c r="G203" s="18" t="s">
        <v>1503</v>
      </c>
      <c r="H203" s="23" t="s">
        <v>1050</v>
      </c>
      <c r="I203" s="20" t="s">
        <v>34</v>
      </c>
      <c r="J203" s="18" t="s">
        <v>1504</v>
      </c>
      <c r="K203" s="18" t="s">
        <v>1505</v>
      </c>
      <c r="L203" s="18" t="s">
        <v>1506</v>
      </c>
      <c r="M203" s="18" t="s">
        <v>1507</v>
      </c>
    </row>
    <row r="204" customFormat="false" ht="23.25" hidden="false" customHeight="true" outlineLevel="0" collapsed="false">
      <c r="A204" s="18" t="n">
        <v>213</v>
      </c>
      <c r="B204" s="18" t="s">
        <v>1600</v>
      </c>
      <c r="C204" s="18" t="s">
        <v>1501</v>
      </c>
      <c r="D204" s="18" t="s">
        <v>527</v>
      </c>
      <c r="E204" s="18" t="s">
        <v>756</v>
      </c>
      <c r="F204" s="18" t="s">
        <v>1502</v>
      </c>
      <c r="G204" s="18" t="s">
        <v>1503</v>
      </c>
      <c r="H204" s="23" t="s">
        <v>1050</v>
      </c>
      <c r="I204" s="20" t="s">
        <v>34</v>
      </c>
      <c r="J204" s="18" t="s">
        <v>1504</v>
      </c>
      <c r="K204" s="18" t="s">
        <v>1505</v>
      </c>
      <c r="L204" s="18" t="s">
        <v>1506</v>
      </c>
      <c r="M204" s="18" t="s">
        <v>1507</v>
      </c>
    </row>
    <row r="205" customFormat="false" ht="23.25" hidden="false" customHeight="true" outlineLevel="0" collapsed="false">
      <c r="A205" s="18" t="n">
        <v>214</v>
      </c>
      <c r="B205" s="18" t="s">
        <v>1601</v>
      </c>
      <c r="C205" s="18" t="s">
        <v>1501</v>
      </c>
      <c r="D205" s="18" t="s">
        <v>527</v>
      </c>
      <c r="E205" s="18" t="s">
        <v>759</v>
      </c>
      <c r="F205" s="18" t="s">
        <v>1502</v>
      </c>
      <c r="G205" s="18" t="s">
        <v>1503</v>
      </c>
      <c r="H205" s="23" t="s">
        <v>1050</v>
      </c>
      <c r="I205" s="20" t="s">
        <v>34</v>
      </c>
      <c r="J205" s="18" t="s">
        <v>1504</v>
      </c>
      <c r="K205" s="18" t="s">
        <v>1505</v>
      </c>
      <c r="L205" s="18" t="s">
        <v>1506</v>
      </c>
      <c r="M205" s="18" t="s">
        <v>1507</v>
      </c>
    </row>
    <row r="206" customFormat="false" ht="23.25" hidden="false" customHeight="true" outlineLevel="0" collapsed="false">
      <c r="A206" s="18" t="n">
        <v>215</v>
      </c>
      <c r="B206" s="18" t="s">
        <v>1602</v>
      </c>
      <c r="C206" s="18" t="s">
        <v>1501</v>
      </c>
      <c r="D206" s="18" t="s">
        <v>527</v>
      </c>
      <c r="E206" s="18" t="s">
        <v>763</v>
      </c>
      <c r="F206" s="18" t="s">
        <v>1502</v>
      </c>
      <c r="G206" s="18" t="s">
        <v>1503</v>
      </c>
      <c r="H206" s="23" t="s">
        <v>1050</v>
      </c>
      <c r="I206" s="20" t="s">
        <v>34</v>
      </c>
      <c r="J206" s="18" t="s">
        <v>1504</v>
      </c>
      <c r="K206" s="18" t="s">
        <v>1505</v>
      </c>
      <c r="L206" s="18" t="s">
        <v>1506</v>
      </c>
      <c r="M206" s="18" t="s">
        <v>1507</v>
      </c>
    </row>
    <row r="207" customFormat="false" ht="23.25" hidden="false" customHeight="true" outlineLevel="0" collapsed="false">
      <c r="A207" s="18" t="n">
        <v>216</v>
      </c>
      <c r="B207" s="18" t="s">
        <v>1603</v>
      </c>
      <c r="C207" s="18" t="s">
        <v>1501</v>
      </c>
      <c r="D207" s="18" t="s">
        <v>527</v>
      </c>
      <c r="E207" s="18" t="s">
        <v>765</v>
      </c>
      <c r="F207" s="18" t="s">
        <v>1502</v>
      </c>
      <c r="G207" s="18" t="s">
        <v>1503</v>
      </c>
      <c r="H207" s="23" t="s">
        <v>1050</v>
      </c>
      <c r="I207" s="20" t="s">
        <v>34</v>
      </c>
      <c r="J207" s="18" t="s">
        <v>1504</v>
      </c>
      <c r="K207" s="18" t="s">
        <v>1505</v>
      </c>
      <c r="L207" s="18" t="s">
        <v>1506</v>
      </c>
      <c r="M207" s="18" t="s">
        <v>1507</v>
      </c>
    </row>
    <row r="208" customFormat="false" ht="23.25" hidden="false" customHeight="true" outlineLevel="0" collapsed="false">
      <c r="A208" s="18" t="n">
        <v>217</v>
      </c>
      <c r="B208" s="18" t="s">
        <v>1604</v>
      </c>
      <c r="C208" s="18" t="s">
        <v>1501</v>
      </c>
      <c r="D208" s="18" t="s">
        <v>527</v>
      </c>
      <c r="E208" s="18" t="s">
        <v>768</v>
      </c>
      <c r="F208" s="18" t="s">
        <v>1502</v>
      </c>
      <c r="G208" s="18" t="s">
        <v>1503</v>
      </c>
      <c r="H208" s="23" t="s">
        <v>1050</v>
      </c>
      <c r="I208" s="20" t="s">
        <v>34</v>
      </c>
      <c r="J208" s="18" t="s">
        <v>1504</v>
      </c>
      <c r="K208" s="18" t="s">
        <v>1505</v>
      </c>
      <c r="L208" s="18" t="s">
        <v>1506</v>
      </c>
      <c r="M208" s="18" t="s">
        <v>1507</v>
      </c>
    </row>
    <row r="209" customFormat="false" ht="23.25" hidden="false" customHeight="true" outlineLevel="0" collapsed="false">
      <c r="A209" s="18" t="n">
        <v>218</v>
      </c>
      <c r="B209" s="18" t="s">
        <v>1605</v>
      </c>
      <c r="C209" s="18" t="s">
        <v>1501</v>
      </c>
      <c r="D209" s="18" t="s">
        <v>527</v>
      </c>
      <c r="E209" s="18" t="s">
        <v>771</v>
      </c>
      <c r="F209" s="18" t="s">
        <v>1502</v>
      </c>
      <c r="G209" s="18" t="s">
        <v>1503</v>
      </c>
      <c r="H209" s="23" t="s">
        <v>1050</v>
      </c>
      <c r="I209" s="20" t="s">
        <v>34</v>
      </c>
      <c r="J209" s="18" t="s">
        <v>1504</v>
      </c>
      <c r="K209" s="18" t="s">
        <v>1505</v>
      </c>
      <c r="L209" s="18" t="s">
        <v>1506</v>
      </c>
      <c r="M209" s="18" t="s">
        <v>1507</v>
      </c>
    </row>
    <row r="210" customFormat="false" ht="15" hidden="false" customHeight="true" outlineLevel="0" collapsed="false">
      <c r="A210" s="18" t="n">
        <v>220</v>
      </c>
      <c r="B210" s="18" t="s">
        <v>1606</v>
      </c>
      <c r="C210" s="18" t="s">
        <v>1068</v>
      </c>
      <c r="D210" s="18" t="s">
        <v>774</v>
      </c>
      <c r="E210" s="18" t="s">
        <v>776</v>
      </c>
      <c r="F210" s="18" t="s">
        <v>1110</v>
      </c>
      <c r="G210" s="18" t="s">
        <v>1065</v>
      </c>
      <c r="H210" s="20" t="s">
        <v>1064</v>
      </c>
      <c r="I210" s="20" t="s">
        <v>34</v>
      </c>
      <c r="J210" s="18"/>
      <c r="K210" s="18" t="s">
        <v>1607</v>
      </c>
      <c r="L210" s="18" t="s">
        <v>1071</v>
      </c>
      <c r="M210" s="18"/>
    </row>
    <row r="211" customFormat="false" ht="23.25" hidden="false" customHeight="true" outlineLevel="0" collapsed="false">
      <c r="A211" s="18" t="n">
        <v>221</v>
      </c>
      <c r="B211" s="18" t="s">
        <v>1608</v>
      </c>
      <c r="C211" s="18" t="s">
        <v>1089</v>
      </c>
      <c r="D211" s="18" t="s">
        <v>774</v>
      </c>
      <c r="E211" s="18" t="s">
        <v>778</v>
      </c>
      <c r="F211" s="18" t="s">
        <v>1125</v>
      </c>
      <c r="G211" s="18" t="s">
        <v>1148</v>
      </c>
      <c r="H211" s="23" t="s">
        <v>1050</v>
      </c>
      <c r="I211" s="24" t="s">
        <v>36</v>
      </c>
      <c r="J211" s="18" t="s">
        <v>1609</v>
      </c>
      <c r="K211" s="18" t="s">
        <v>1610</v>
      </c>
      <c r="L211" s="18" t="s">
        <v>1611</v>
      </c>
      <c r="M211" s="18" t="s">
        <v>1612</v>
      </c>
    </row>
    <row r="212" customFormat="false" ht="23.25" hidden="false" customHeight="true" outlineLevel="0" collapsed="false">
      <c r="A212" s="18" t="n">
        <v>222</v>
      </c>
      <c r="B212" s="18" t="s">
        <v>1613</v>
      </c>
      <c r="C212" s="18" t="s">
        <v>1089</v>
      </c>
      <c r="D212" s="18" t="s">
        <v>774</v>
      </c>
      <c r="E212" s="18" t="s">
        <v>782</v>
      </c>
      <c r="F212" s="18" t="s">
        <v>1125</v>
      </c>
      <c r="G212" s="18" t="s">
        <v>1148</v>
      </c>
      <c r="H212" s="22" t="s">
        <v>1092</v>
      </c>
      <c r="I212" s="23" t="s">
        <v>38</v>
      </c>
      <c r="J212" s="18" t="s">
        <v>1614</v>
      </c>
      <c r="K212" s="18" t="s">
        <v>1615</v>
      </c>
      <c r="L212" s="18" t="s">
        <v>1616</v>
      </c>
      <c r="M212" s="18" t="s">
        <v>1617</v>
      </c>
    </row>
    <row r="213" customFormat="false" ht="23.25" hidden="false" customHeight="true" outlineLevel="0" collapsed="false">
      <c r="A213" s="18" t="n">
        <v>223</v>
      </c>
      <c r="B213" s="18" t="s">
        <v>1618</v>
      </c>
      <c r="C213" s="18" t="s">
        <v>1103</v>
      </c>
      <c r="D213" s="18" t="s">
        <v>774</v>
      </c>
      <c r="E213" s="18" t="s">
        <v>787</v>
      </c>
      <c r="F213" s="18" t="s">
        <v>1399</v>
      </c>
      <c r="G213" s="18" t="s">
        <v>1073</v>
      </c>
      <c r="H213" s="23" t="s">
        <v>1050</v>
      </c>
      <c r="I213" s="24" t="s">
        <v>36</v>
      </c>
      <c r="J213" s="18" t="s">
        <v>1619</v>
      </c>
      <c r="K213" s="18" t="s">
        <v>1620</v>
      </c>
      <c r="L213" s="18" t="s">
        <v>1439</v>
      </c>
      <c r="M213" s="18" t="s">
        <v>1621</v>
      </c>
    </row>
    <row r="214" customFormat="false" ht="23.25" hidden="false" customHeight="true" outlineLevel="0" collapsed="false">
      <c r="A214" s="18" t="n">
        <v>224</v>
      </c>
      <c r="B214" s="18" t="s">
        <v>1622</v>
      </c>
      <c r="C214" s="18" t="s">
        <v>1103</v>
      </c>
      <c r="D214" s="18" t="s">
        <v>774</v>
      </c>
      <c r="E214" s="18" t="s">
        <v>787</v>
      </c>
      <c r="F214" s="18" t="s">
        <v>1399</v>
      </c>
      <c r="G214" s="18" t="s">
        <v>1073</v>
      </c>
      <c r="H214" s="23" t="s">
        <v>1050</v>
      </c>
      <c r="I214" s="24" t="s">
        <v>36</v>
      </c>
      <c r="J214" s="18" t="s">
        <v>1619</v>
      </c>
      <c r="K214" s="18" t="s">
        <v>1620</v>
      </c>
      <c r="L214" s="18" t="s">
        <v>1439</v>
      </c>
      <c r="M214" s="18" t="s">
        <v>1621</v>
      </c>
    </row>
    <row r="215" customFormat="false" ht="23.25" hidden="false" customHeight="true" outlineLevel="0" collapsed="false">
      <c r="A215" s="18" t="n">
        <v>225</v>
      </c>
      <c r="B215" s="18" t="s">
        <v>1623</v>
      </c>
      <c r="C215" s="18" t="s">
        <v>1103</v>
      </c>
      <c r="D215" s="18" t="s">
        <v>774</v>
      </c>
      <c r="E215" s="18" t="s">
        <v>790</v>
      </c>
      <c r="F215" s="18" t="s">
        <v>1125</v>
      </c>
      <c r="G215" s="18" t="s">
        <v>1148</v>
      </c>
      <c r="H215" s="23" t="s">
        <v>1050</v>
      </c>
      <c r="I215" s="24" t="s">
        <v>36</v>
      </c>
      <c r="J215" s="18" t="s">
        <v>1624</v>
      </c>
      <c r="K215" s="18" t="s">
        <v>1625</v>
      </c>
      <c r="L215" s="18" t="s">
        <v>1439</v>
      </c>
      <c r="M215" s="18" t="s">
        <v>1626</v>
      </c>
    </row>
    <row r="216" customFormat="false" ht="15" hidden="false" customHeight="true" outlineLevel="0" collapsed="false">
      <c r="A216" s="18" t="n">
        <v>226</v>
      </c>
      <c r="B216" s="18" t="s">
        <v>1627</v>
      </c>
      <c r="C216" s="18" t="s">
        <v>1097</v>
      </c>
      <c r="D216" s="18" t="s">
        <v>774</v>
      </c>
      <c r="E216" s="18" t="s">
        <v>792</v>
      </c>
      <c r="F216" s="18" t="s">
        <v>1399</v>
      </c>
      <c r="G216" s="18" t="s">
        <v>1073</v>
      </c>
      <c r="H216" s="23" t="s">
        <v>1050</v>
      </c>
      <c r="I216" s="20" t="s">
        <v>34</v>
      </c>
      <c r="J216" s="18"/>
      <c r="K216" s="18" t="s">
        <v>1628</v>
      </c>
      <c r="L216" s="18" t="s">
        <v>1071</v>
      </c>
      <c r="M216" s="18" t="s">
        <v>1629</v>
      </c>
    </row>
    <row r="217" customFormat="false" ht="34.5" hidden="false" customHeight="true" outlineLevel="0" collapsed="false">
      <c r="A217" s="18" t="n">
        <v>227</v>
      </c>
      <c r="B217" s="18" t="s">
        <v>1630</v>
      </c>
      <c r="C217" s="18" t="s">
        <v>1103</v>
      </c>
      <c r="D217" s="18" t="s">
        <v>774</v>
      </c>
      <c r="E217" s="18" t="s">
        <v>794</v>
      </c>
      <c r="F217" s="18" t="s">
        <v>1125</v>
      </c>
      <c r="G217" s="18" t="s">
        <v>1148</v>
      </c>
      <c r="H217" s="27" t="s">
        <v>1057</v>
      </c>
      <c r="I217" s="23" t="s">
        <v>38</v>
      </c>
      <c r="J217" s="18" t="s">
        <v>1631</v>
      </c>
      <c r="K217" s="18" t="s">
        <v>1632</v>
      </c>
      <c r="L217" s="18" t="s">
        <v>1633</v>
      </c>
      <c r="M217" s="18" t="s">
        <v>1634</v>
      </c>
    </row>
    <row r="218" customFormat="false" ht="34.5" hidden="false" customHeight="true" outlineLevel="0" collapsed="false">
      <c r="A218" s="18" t="n">
        <v>228</v>
      </c>
      <c r="B218" s="18" t="s">
        <v>1635</v>
      </c>
      <c r="C218" s="18" t="s">
        <v>1097</v>
      </c>
      <c r="D218" s="18" t="s">
        <v>774</v>
      </c>
      <c r="E218" s="18" t="s">
        <v>796</v>
      </c>
      <c r="F218" s="18" t="s">
        <v>1399</v>
      </c>
      <c r="G218" s="18"/>
      <c r="H218" s="20" t="s">
        <v>1064</v>
      </c>
      <c r="I218" s="20" t="s">
        <v>34</v>
      </c>
      <c r="J218" s="18" t="s">
        <v>1636</v>
      </c>
      <c r="K218" s="18" t="s">
        <v>1637</v>
      </c>
      <c r="L218" s="18" t="s">
        <v>1071</v>
      </c>
      <c r="M218" s="18"/>
    </row>
    <row r="219" customFormat="false" ht="23.25" hidden="false" customHeight="true" outlineLevel="0" collapsed="false">
      <c r="A219" s="18" t="n">
        <v>229</v>
      </c>
      <c r="B219" s="18" t="s">
        <v>1638</v>
      </c>
      <c r="C219" s="18" t="s">
        <v>1097</v>
      </c>
      <c r="D219" s="18" t="s">
        <v>774</v>
      </c>
      <c r="E219" s="18" t="s">
        <v>799</v>
      </c>
      <c r="F219" s="18" t="s">
        <v>1639</v>
      </c>
      <c r="G219" s="18" t="s">
        <v>1640</v>
      </c>
      <c r="H219" s="23" t="s">
        <v>1050</v>
      </c>
      <c r="I219" s="24" t="s">
        <v>36</v>
      </c>
      <c r="J219" s="18" t="s">
        <v>1641</v>
      </c>
      <c r="K219" s="18" t="s">
        <v>1642</v>
      </c>
      <c r="L219" s="18" t="s">
        <v>1643</v>
      </c>
      <c r="M219" s="18" t="s">
        <v>1644</v>
      </c>
    </row>
    <row r="220" customFormat="false" ht="34.5" hidden="false" customHeight="true" outlineLevel="0" collapsed="false">
      <c r="A220" s="18" t="n">
        <v>230</v>
      </c>
      <c r="B220" s="18" t="s">
        <v>1645</v>
      </c>
      <c r="C220" s="18" t="s">
        <v>1097</v>
      </c>
      <c r="D220" s="18" t="s">
        <v>774</v>
      </c>
      <c r="E220" s="18" t="s">
        <v>802</v>
      </c>
      <c r="F220" s="18" t="s">
        <v>1639</v>
      </c>
      <c r="G220" s="18" t="s">
        <v>1640</v>
      </c>
      <c r="H220" s="23" t="s">
        <v>1050</v>
      </c>
      <c r="I220" s="24" t="s">
        <v>36</v>
      </c>
      <c r="J220" s="18" t="s">
        <v>1646</v>
      </c>
      <c r="K220" s="18" t="s">
        <v>1647</v>
      </c>
      <c r="L220" s="18" t="s">
        <v>1643</v>
      </c>
      <c r="M220" s="18" t="s">
        <v>1648</v>
      </c>
    </row>
    <row r="221" customFormat="false" ht="34.5" hidden="false" customHeight="true" outlineLevel="0" collapsed="false">
      <c r="A221" s="18" t="n">
        <v>231</v>
      </c>
      <c r="B221" s="18" t="s">
        <v>1649</v>
      </c>
      <c r="C221" s="18" t="s">
        <v>1097</v>
      </c>
      <c r="D221" s="18" t="s">
        <v>774</v>
      </c>
      <c r="E221" s="18" t="s">
        <v>803</v>
      </c>
      <c r="F221" s="18" t="s">
        <v>1639</v>
      </c>
      <c r="G221" s="18" t="s">
        <v>1640</v>
      </c>
      <c r="H221" s="23" t="s">
        <v>1050</v>
      </c>
      <c r="I221" s="24" t="s">
        <v>36</v>
      </c>
      <c r="J221" s="18" t="s">
        <v>1650</v>
      </c>
      <c r="K221" s="18" t="s">
        <v>1647</v>
      </c>
      <c r="L221" s="18" t="s">
        <v>1643</v>
      </c>
      <c r="M221" s="18" t="s">
        <v>1651</v>
      </c>
    </row>
    <row r="222" customFormat="false" ht="45.75" hidden="false" customHeight="true" outlineLevel="0" collapsed="false">
      <c r="A222" s="18" t="n">
        <v>232</v>
      </c>
      <c r="B222" s="18" t="s">
        <v>1652</v>
      </c>
      <c r="C222" s="18" t="s">
        <v>1097</v>
      </c>
      <c r="D222" s="18" t="s">
        <v>774</v>
      </c>
      <c r="E222" s="18" t="s">
        <v>805</v>
      </c>
      <c r="F222" s="18" t="s">
        <v>1639</v>
      </c>
      <c r="G222" s="18" t="s">
        <v>1640</v>
      </c>
      <c r="H222" s="23" t="s">
        <v>1050</v>
      </c>
      <c r="I222" s="24" t="s">
        <v>36</v>
      </c>
      <c r="J222" s="18" t="s">
        <v>1653</v>
      </c>
      <c r="K222" s="18" t="s">
        <v>1647</v>
      </c>
      <c r="L222" s="18" t="s">
        <v>1643</v>
      </c>
      <c r="M222" s="18" t="s">
        <v>1654</v>
      </c>
    </row>
    <row r="223" customFormat="false" ht="34.5" hidden="false" customHeight="true" outlineLevel="0" collapsed="false">
      <c r="A223" s="18" t="n">
        <v>233</v>
      </c>
      <c r="B223" s="18" t="s">
        <v>1655</v>
      </c>
      <c r="C223" s="18" t="s">
        <v>1097</v>
      </c>
      <c r="D223" s="18" t="s">
        <v>774</v>
      </c>
      <c r="E223" s="18" t="s">
        <v>808</v>
      </c>
      <c r="F223" s="18" t="s">
        <v>1639</v>
      </c>
      <c r="G223" s="18" t="s">
        <v>1640</v>
      </c>
      <c r="H223" s="23" t="s">
        <v>1050</v>
      </c>
      <c r="I223" s="24" t="s">
        <v>36</v>
      </c>
      <c r="J223" s="18" t="s">
        <v>1656</v>
      </c>
      <c r="K223" s="18" t="s">
        <v>1647</v>
      </c>
      <c r="L223" s="18" t="s">
        <v>1643</v>
      </c>
      <c r="M223" s="18" t="s">
        <v>1657</v>
      </c>
    </row>
    <row r="224" customFormat="false" ht="34.5" hidden="false" customHeight="true" outlineLevel="0" collapsed="false">
      <c r="A224" s="18" t="n">
        <v>234</v>
      </c>
      <c r="B224" s="18" t="s">
        <v>1658</v>
      </c>
      <c r="C224" s="18" t="s">
        <v>1097</v>
      </c>
      <c r="D224" s="18" t="s">
        <v>774</v>
      </c>
      <c r="E224" s="18" t="s">
        <v>811</v>
      </c>
      <c r="F224" s="18" t="s">
        <v>1639</v>
      </c>
      <c r="G224" s="18" t="s">
        <v>1640</v>
      </c>
      <c r="H224" s="23" t="s">
        <v>1050</v>
      </c>
      <c r="I224" s="24" t="s">
        <v>36</v>
      </c>
      <c r="J224" s="18" t="s">
        <v>1659</v>
      </c>
      <c r="K224" s="18" t="s">
        <v>1647</v>
      </c>
      <c r="L224" s="18" t="s">
        <v>1643</v>
      </c>
      <c r="M224" s="18" t="s">
        <v>1660</v>
      </c>
    </row>
    <row r="225" customFormat="false" ht="34.5" hidden="false" customHeight="true" outlineLevel="0" collapsed="false">
      <c r="A225" s="18" t="n">
        <v>235</v>
      </c>
      <c r="B225" s="18" t="s">
        <v>1661</v>
      </c>
      <c r="C225" s="18" t="s">
        <v>1097</v>
      </c>
      <c r="D225" s="18" t="s">
        <v>774</v>
      </c>
      <c r="E225" s="18" t="s">
        <v>814</v>
      </c>
      <c r="F225" s="18" t="s">
        <v>1639</v>
      </c>
      <c r="G225" s="18" t="s">
        <v>1640</v>
      </c>
      <c r="H225" s="23" t="s">
        <v>1050</v>
      </c>
      <c r="I225" s="24" t="s">
        <v>36</v>
      </c>
      <c r="J225" s="18" t="s">
        <v>1662</v>
      </c>
      <c r="K225" s="18" t="s">
        <v>1647</v>
      </c>
      <c r="L225" s="18" t="s">
        <v>1643</v>
      </c>
      <c r="M225" s="18" t="s">
        <v>1663</v>
      </c>
    </row>
    <row r="226" customFormat="false" ht="57" hidden="false" customHeight="true" outlineLevel="0" collapsed="false">
      <c r="A226" s="18" t="n">
        <v>236</v>
      </c>
      <c r="B226" s="18" t="s">
        <v>1664</v>
      </c>
      <c r="C226" s="18" t="s">
        <v>1097</v>
      </c>
      <c r="D226" s="18" t="s">
        <v>774</v>
      </c>
      <c r="E226" s="18" t="s">
        <v>817</v>
      </c>
      <c r="F226" s="18" t="s">
        <v>1639</v>
      </c>
      <c r="G226" s="18" t="s">
        <v>1640</v>
      </c>
      <c r="H226" s="23" t="s">
        <v>1050</v>
      </c>
      <c r="I226" s="24" t="s">
        <v>36</v>
      </c>
      <c r="J226" s="18" t="s">
        <v>1665</v>
      </c>
      <c r="K226" s="18" t="s">
        <v>1647</v>
      </c>
      <c r="L226" s="18" t="s">
        <v>1643</v>
      </c>
      <c r="M226" s="18" t="s">
        <v>1666</v>
      </c>
    </row>
    <row r="227" customFormat="false" ht="45.75" hidden="false" customHeight="true" outlineLevel="0" collapsed="false">
      <c r="A227" s="18" t="n">
        <v>237</v>
      </c>
      <c r="B227" s="18" t="s">
        <v>1667</v>
      </c>
      <c r="C227" s="18" t="s">
        <v>1097</v>
      </c>
      <c r="D227" s="18" t="s">
        <v>774</v>
      </c>
      <c r="E227" s="18" t="s">
        <v>819</v>
      </c>
      <c r="F227" s="18" t="s">
        <v>1639</v>
      </c>
      <c r="G227" s="18" t="s">
        <v>1640</v>
      </c>
      <c r="H227" s="23" t="s">
        <v>1050</v>
      </c>
      <c r="I227" s="24" t="s">
        <v>36</v>
      </c>
      <c r="J227" s="18" t="s">
        <v>1668</v>
      </c>
      <c r="K227" s="18" t="s">
        <v>1647</v>
      </c>
      <c r="L227" s="18" t="s">
        <v>1643</v>
      </c>
      <c r="M227" s="18" t="s">
        <v>1669</v>
      </c>
    </row>
    <row r="228" customFormat="false" ht="57" hidden="false" customHeight="true" outlineLevel="0" collapsed="false">
      <c r="A228" s="18" t="n">
        <v>238</v>
      </c>
      <c r="B228" s="18" t="s">
        <v>1670</v>
      </c>
      <c r="C228" s="18" t="s">
        <v>1097</v>
      </c>
      <c r="D228" s="18" t="s">
        <v>774</v>
      </c>
      <c r="E228" s="18" t="s">
        <v>820</v>
      </c>
      <c r="F228" s="18" t="s">
        <v>1639</v>
      </c>
      <c r="G228" s="18" t="s">
        <v>1640</v>
      </c>
      <c r="H228" s="23" t="s">
        <v>1050</v>
      </c>
      <c r="I228" s="24" t="s">
        <v>36</v>
      </c>
      <c r="J228" s="18" t="s">
        <v>1671</v>
      </c>
      <c r="K228" s="18" t="s">
        <v>1647</v>
      </c>
      <c r="L228" s="18" t="s">
        <v>1643</v>
      </c>
      <c r="M228" s="18" t="s">
        <v>1672</v>
      </c>
    </row>
    <row r="229" customFormat="false" ht="15" hidden="false" customHeight="true" outlineLevel="0" collapsed="false">
      <c r="A229" s="18" t="n">
        <v>239</v>
      </c>
      <c r="B229" s="18" t="s">
        <v>1673</v>
      </c>
      <c r="C229" s="18" t="s">
        <v>1097</v>
      </c>
      <c r="D229" s="18" t="s">
        <v>774</v>
      </c>
      <c r="E229" s="18" t="s">
        <v>822</v>
      </c>
      <c r="F229" s="18" t="s">
        <v>1674</v>
      </c>
      <c r="G229" s="18" t="s">
        <v>1640</v>
      </c>
      <c r="H229" s="23" t="s">
        <v>1050</v>
      </c>
      <c r="I229" s="20" t="s">
        <v>34</v>
      </c>
      <c r="J229" s="18"/>
      <c r="K229" s="18" t="s">
        <v>1675</v>
      </c>
      <c r="L229" s="18" t="s">
        <v>1071</v>
      </c>
      <c r="M229" s="18" t="s">
        <v>1676</v>
      </c>
    </row>
    <row r="230" customFormat="false" ht="23.25" hidden="false" customHeight="true" outlineLevel="0" collapsed="false">
      <c r="A230" s="18" t="n">
        <v>240</v>
      </c>
      <c r="B230" s="18" t="s">
        <v>1677</v>
      </c>
      <c r="C230" s="18" t="s">
        <v>1097</v>
      </c>
      <c r="D230" s="18" t="s">
        <v>774</v>
      </c>
      <c r="E230" s="18" t="s">
        <v>826</v>
      </c>
      <c r="F230" s="18" t="s">
        <v>1674</v>
      </c>
      <c r="G230" s="18" t="s">
        <v>1640</v>
      </c>
      <c r="H230" s="23" t="s">
        <v>1050</v>
      </c>
      <c r="I230" s="20" t="s">
        <v>34</v>
      </c>
      <c r="J230" s="18"/>
      <c r="K230" s="18" t="s">
        <v>1675</v>
      </c>
      <c r="L230" s="18" t="s">
        <v>1071</v>
      </c>
      <c r="M230" s="18" t="s">
        <v>1676</v>
      </c>
    </row>
    <row r="231" customFormat="false" ht="15" hidden="false" customHeight="true" outlineLevel="0" collapsed="false">
      <c r="A231" s="18" t="n">
        <v>241</v>
      </c>
      <c r="B231" s="18" t="s">
        <v>1678</v>
      </c>
      <c r="C231" s="18" t="s">
        <v>1097</v>
      </c>
      <c r="D231" s="18" t="s">
        <v>774</v>
      </c>
      <c r="E231" s="18" t="s">
        <v>829</v>
      </c>
      <c r="F231" s="18" t="s">
        <v>1674</v>
      </c>
      <c r="G231" s="18" t="s">
        <v>1640</v>
      </c>
      <c r="H231" s="23" t="s">
        <v>1050</v>
      </c>
      <c r="I231" s="20" t="s">
        <v>34</v>
      </c>
      <c r="J231" s="18"/>
      <c r="K231" s="18" t="s">
        <v>1675</v>
      </c>
      <c r="L231" s="18" t="s">
        <v>1071</v>
      </c>
      <c r="M231" s="18" t="s">
        <v>1676</v>
      </c>
    </row>
    <row r="232" customFormat="false" ht="23.25" hidden="false" customHeight="true" outlineLevel="0" collapsed="false">
      <c r="A232" s="18" t="n">
        <v>242</v>
      </c>
      <c r="B232" s="18" t="s">
        <v>1679</v>
      </c>
      <c r="C232" s="18" t="s">
        <v>1097</v>
      </c>
      <c r="D232" s="18" t="s">
        <v>774</v>
      </c>
      <c r="E232" s="18" t="s">
        <v>834</v>
      </c>
      <c r="F232" s="18" t="s">
        <v>1399</v>
      </c>
      <c r="G232" s="18" t="s">
        <v>1073</v>
      </c>
      <c r="H232" s="23" t="s">
        <v>1050</v>
      </c>
      <c r="I232" s="20" t="s">
        <v>34</v>
      </c>
      <c r="J232" s="18"/>
      <c r="K232" s="18" t="s">
        <v>1680</v>
      </c>
      <c r="L232" s="18" t="s">
        <v>1071</v>
      </c>
      <c r="M232" s="18"/>
    </row>
    <row r="233" customFormat="false" ht="23.25" hidden="false" customHeight="true" outlineLevel="0" collapsed="false">
      <c r="A233" s="18" t="n">
        <v>243</v>
      </c>
      <c r="B233" s="18" t="s">
        <v>1681</v>
      </c>
      <c r="C233" s="18" t="s">
        <v>1097</v>
      </c>
      <c r="D233" s="18" t="s">
        <v>774</v>
      </c>
      <c r="E233" s="18" t="s">
        <v>837</v>
      </c>
      <c r="F233" s="18" t="s">
        <v>1682</v>
      </c>
      <c r="G233" s="18" t="s">
        <v>1073</v>
      </c>
      <c r="H233" s="20" t="s">
        <v>1064</v>
      </c>
      <c r="I233" s="20" t="s">
        <v>34</v>
      </c>
      <c r="J233" s="18"/>
      <c r="K233" s="18" t="s">
        <v>1683</v>
      </c>
      <c r="L233" s="18" t="s">
        <v>1071</v>
      </c>
      <c r="M233" s="18"/>
    </row>
    <row r="234" customFormat="false" ht="23.25" hidden="false" customHeight="true" outlineLevel="0" collapsed="false">
      <c r="A234" s="18" t="n">
        <v>244</v>
      </c>
      <c r="B234" s="18" t="s">
        <v>1684</v>
      </c>
      <c r="C234" s="18" t="s">
        <v>1097</v>
      </c>
      <c r="D234" s="18" t="s">
        <v>774</v>
      </c>
      <c r="E234" s="18" t="s">
        <v>839</v>
      </c>
      <c r="F234" s="18" t="s">
        <v>1682</v>
      </c>
      <c r="G234" s="18" t="s">
        <v>1073</v>
      </c>
      <c r="H234" s="20" t="s">
        <v>1064</v>
      </c>
      <c r="I234" s="20" t="s">
        <v>34</v>
      </c>
      <c r="J234" s="18"/>
      <c r="K234" s="18" t="s">
        <v>1683</v>
      </c>
      <c r="L234" s="18" t="s">
        <v>1071</v>
      </c>
      <c r="M234" s="18"/>
    </row>
    <row r="235" customFormat="false" ht="23.25" hidden="false" customHeight="true" outlineLevel="0" collapsed="false">
      <c r="A235" s="18" t="n">
        <v>245</v>
      </c>
      <c r="B235" s="18" t="s">
        <v>1685</v>
      </c>
      <c r="C235" s="18" t="s">
        <v>1097</v>
      </c>
      <c r="D235" s="18" t="s">
        <v>774</v>
      </c>
      <c r="E235" s="18" t="s">
        <v>841</v>
      </c>
      <c r="F235" s="18" t="s">
        <v>1399</v>
      </c>
      <c r="G235" s="18"/>
      <c r="H235" s="20" t="s">
        <v>1064</v>
      </c>
      <c r="I235" s="20" t="s">
        <v>34</v>
      </c>
      <c r="J235" s="18"/>
      <c r="K235" s="18" t="s">
        <v>1400</v>
      </c>
      <c r="L235" s="18" t="s">
        <v>1071</v>
      </c>
      <c r="M235" s="18"/>
    </row>
    <row r="236" customFormat="false" ht="34.5" hidden="false" customHeight="true" outlineLevel="0" collapsed="false">
      <c r="A236" s="18" t="n">
        <v>246</v>
      </c>
      <c r="B236" s="18" t="s">
        <v>1686</v>
      </c>
      <c r="C236" s="18" t="s">
        <v>1687</v>
      </c>
      <c r="D236" s="18" t="s">
        <v>774</v>
      </c>
      <c r="E236" s="18" t="s">
        <v>844</v>
      </c>
      <c r="F236" s="18" t="s">
        <v>1125</v>
      </c>
      <c r="G236" s="18" t="s">
        <v>1148</v>
      </c>
      <c r="H236" s="23" t="s">
        <v>1050</v>
      </c>
      <c r="I236" s="23" t="s">
        <v>38</v>
      </c>
      <c r="J236" s="18" t="s">
        <v>1688</v>
      </c>
      <c r="K236" s="18" t="s">
        <v>1689</v>
      </c>
      <c r="L236" s="18" t="s">
        <v>1690</v>
      </c>
      <c r="M236" s="18" t="s">
        <v>1691</v>
      </c>
    </row>
    <row r="237" customFormat="false" ht="34.5" hidden="false" customHeight="true" outlineLevel="0" collapsed="false">
      <c r="A237" s="18" t="n">
        <v>247</v>
      </c>
      <c r="B237" s="18" t="s">
        <v>1692</v>
      </c>
      <c r="C237" s="18" t="s">
        <v>1687</v>
      </c>
      <c r="D237" s="18" t="s">
        <v>774</v>
      </c>
      <c r="E237" s="18" t="s">
        <v>847</v>
      </c>
      <c r="F237" s="18" t="s">
        <v>1125</v>
      </c>
      <c r="G237" s="18" t="s">
        <v>1148</v>
      </c>
      <c r="H237" s="23" t="s">
        <v>1050</v>
      </c>
      <c r="I237" s="23" t="s">
        <v>38</v>
      </c>
      <c r="J237" s="18" t="s">
        <v>1693</v>
      </c>
      <c r="K237" s="18" t="s">
        <v>1694</v>
      </c>
      <c r="L237" s="18" t="s">
        <v>1695</v>
      </c>
      <c r="M237" s="18" t="s">
        <v>1696</v>
      </c>
    </row>
    <row r="238" customFormat="false" ht="23.25" hidden="false" customHeight="true" outlineLevel="0" collapsed="false">
      <c r="A238" s="18" t="n">
        <v>248</v>
      </c>
      <c r="B238" s="18" t="s">
        <v>1697</v>
      </c>
      <c r="C238" s="18" t="s">
        <v>1687</v>
      </c>
      <c r="D238" s="18" t="s">
        <v>774</v>
      </c>
      <c r="E238" s="18" t="s">
        <v>849</v>
      </c>
      <c r="F238" s="18" t="s">
        <v>1125</v>
      </c>
      <c r="G238" s="18" t="s">
        <v>1148</v>
      </c>
      <c r="H238" s="23" t="s">
        <v>1050</v>
      </c>
      <c r="I238" s="23" t="s">
        <v>38</v>
      </c>
      <c r="J238" s="18" t="s">
        <v>1698</v>
      </c>
      <c r="K238" s="18" t="s">
        <v>1699</v>
      </c>
      <c r="L238" s="18" t="s">
        <v>1700</v>
      </c>
      <c r="M238" s="18" t="s">
        <v>1701</v>
      </c>
    </row>
    <row r="239" customFormat="false" ht="34.5" hidden="false" customHeight="true" outlineLevel="0" collapsed="false">
      <c r="A239" s="18" t="n">
        <v>249</v>
      </c>
      <c r="B239" s="18" t="s">
        <v>1702</v>
      </c>
      <c r="C239" s="18" t="s">
        <v>1703</v>
      </c>
      <c r="D239" s="18" t="s">
        <v>774</v>
      </c>
      <c r="E239" s="18" t="s">
        <v>851</v>
      </c>
      <c r="F239" s="18" t="s">
        <v>1125</v>
      </c>
      <c r="G239" s="18" t="s">
        <v>1704</v>
      </c>
      <c r="H239" s="27" t="s">
        <v>1057</v>
      </c>
      <c r="I239" s="23" t="s">
        <v>38</v>
      </c>
      <c r="J239" s="18" t="s">
        <v>1705</v>
      </c>
      <c r="K239" s="18" t="s">
        <v>1706</v>
      </c>
      <c r="L239" s="18" t="s">
        <v>1183</v>
      </c>
      <c r="M239" s="18" t="s">
        <v>1707</v>
      </c>
    </row>
    <row r="240" customFormat="false" ht="23.25" hidden="false" customHeight="true" outlineLevel="0" collapsed="false">
      <c r="A240" s="18" t="n">
        <v>250</v>
      </c>
      <c r="B240" s="18" t="s">
        <v>1708</v>
      </c>
      <c r="C240" s="18" t="s">
        <v>1687</v>
      </c>
      <c r="D240" s="18" t="s">
        <v>774</v>
      </c>
      <c r="E240" s="18" t="s">
        <v>853</v>
      </c>
      <c r="F240" s="18" t="s">
        <v>1125</v>
      </c>
      <c r="G240" s="18" t="s">
        <v>1148</v>
      </c>
      <c r="H240" s="23" t="s">
        <v>1050</v>
      </c>
      <c r="I240" s="23" t="s">
        <v>38</v>
      </c>
      <c r="J240" s="18"/>
      <c r="K240" s="18" t="s">
        <v>1356</v>
      </c>
      <c r="L240" s="18" t="s">
        <v>1439</v>
      </c>
      <c r="M240" s="18" t="s">
        <v>1709</v>
      </c>
    </row>
    <row r="241" customFormat="false" ht="23.25" hidden="false" customHeight="true" outlineLevel="0" collapsed="false">
      <c r="A241" s="18" t="n">
        <v>251</v>
      </c>
      <c r="B241" s="18" t="s">
        <v>1710</v>
      </c>
      <c r="C241" s="18" t="s">
        <v>1687</v>
      </c>
      <c r="D241" s="18" t="s">
        <v>774</v>
      </c>
      <c r="E241" s="18" t="s">
        <v>856</v>
      </c>
      <c r="F241" s="18" t="s">
        <v>1125</v>
      </c>
      <c r="G241" s="18" t="s">
        <v>1148</v>
      </c>
      <c r="H241" s="27" t="s">
        <v>1057</v>
      </c>
      <c r="I241" s="23" t="s">
        <v>38</v>
      </c>
      <c r="J241" s="18" t="s">
        <v>1711</v>
      </c>
      <c r="K241" s="18" t="s">
        <v>1712</v>
      </c>
      <c r="L241" s="18" t="s">
        <v>1713</v>
      </c>
      <c r="M241" s="18" t="s">
        <v>1714</v>
      </c>
    </row>
    <row r="242" customFormat="false" ht="23.25" hidden="false" customHeight="true" outlineLevel="0" collapsed="false">
      <c r="A242" s="18" t="n">
        <v>252</v>
      </c>
      <c r="B242" s="18" t="s">
        <v>1715</v>
      </c>
      <c r="C242" s="18" t="s">
        <v>1097</v>
      </c>
      <c r="D242" s="18" t="s">
        <v>774</v>
      </c>
      <c r="E242" s="18" t="s">
        <v>841</v>
      </c>
      <c r="F242" s="18"/>
      <c r="G242" s="18"/>
      <c r="H242" s="18"/>
      <c r="I242" s="18"/>
      <c r="J242" s="18"/>
      <c r="K242" s="18"/>
      <c r="L242" s="18"/>
      <c r="M242" s="18" t="s">
        <v>1716</v>
      </c>
    </row>
    <row r="243" customFormat="false" ht="23.25" hidden="false" customHeight="true" outlineLevel="0" collapsed="false">
      <c r="A243" s="18" t="n">
        <v>253</v>
      </c>
      <c r="B243" s="18" t="s">
        <v>1717</v>
      </c>
      <c r="C243" s="18" t="s">
        <v>1718</v>
      </c>
      <c r="D243" s="18" t="s">
        <v>774</v>
      </c>
      <c r="E243" s="18" t="s">
        <v>861</v>
      </c>
      <c r="F243" s="18" t="s">
        <v>1125</v>
      </c>
      <c r="G243" s="18" t="s">
        <v>1148</v>
      </c>
      <c r="H243" s="27" t="s">
        <v>1057</v>
      </c>
      <c r="I243" s="23" t="s">
        <v>38</v>
      </c>
      <c r="J243" s="18" t="s">
        <v>1719</v>
      </c>
      <c r="K243" s="18" t="s">
        <v>1720</v>
      </c>
      <c r="L243" s="18" t="s">
        <v>1721</v>
      </c>
      <c r="M243" s="18" t="s">
        <v>1722</v>
      </c>
    </row>
    <row r="244" customFormat="false" ht="34.5" hidden="false" customHeight="true" outlineLevel="0" collapsed="false">
      <c r="A244" s="18" t="n">
        <v>254</v>
      </c>
      <c r="B244" s="18" t="s">
        <v>1723</v>
      </c>
      <c r="C244" s="18" t="s">
        <v>1718</v>
      </c>
      <c r="D244" s="18" t="s">
        <v>774</v>
      </c>
      <c r="E244" s="18" t="s">
        <v>863</v>
      </c>
      <c r="F244" s="18" t="s">
        <v>1125</v>
      </c>
      <c r="G244" s="18" t="s">
        <v>1148</v>
      </c>
      <c r="H244" s="23" t="s">
        <v>1050</v>
      </c>
      <c r="I244" s="23" t="s">
        <v>38</v>
      </c>
      <c r="J244" s="18" t="s">
        <v>1719</v>
      </c>
      <c r="K244" s="18" t="s">
        <v>1720</v>
      </c>
      <c r="L244" s="18" t="s">
        <v>1724</v>
      </c>
      <c r="M244" s="18" t="s">
        <v>1725</v>
      </c>
    </row>
    <row r="245" customFormat="false" ht="34.5" hidden="false" customHeight="true" outlineLevel="0" collapsed="false">
      <c r="A245" s="18" t="n">
        <v>255</v>
      </c>
      <c r="B245" s="18" t="s">
        <v>1726</v>
      </c>
      <c r="C245" s="18" t="s">
        <v>1718</v>
      </c>
      <c r="D245" s="18" t="s">
        <v>774</v>
      </c>
      <c r="E245" s="18" t="s">
        <v>866</v>
      </c>
      <c r="F245" s="18" t="s">
        <v>1125</v>
      </c>
      <c r="G245" s="18" t="s">
        <v>1148</v>
      </c>
      <c r="H245" s="23" t="s">
        <v>1050</v>
      </c>
      <c r="I245" s="24" t="s">
        <v>36</v>
      </c>
      <c r="J245" s="18" t="s">
        <v>1727</v>
      </c>
      <c r="K245" s="18" t="s">
        <v>1699</v>
      </c>
      <c r="L245" s="18" t="s">
        <v>1728</v>
      </c>
      <c r="M245" s="18" t="s">
        <v>1729</v>
      </c>
    </row>
    <row r="246" customFormat="false" ht="34.5" hidden="false" customHeight="true" outlineLevel="0" collapsed="false">
      <c r="A246" s="18" t="n">
        <v>256</v>
      </c>
      <c r="B246" s="18" t="s">
        <v>1730</v>
      </c>
      <c r="C246" s="18" t="s">
        <v>1718</v>
      </c>
      <c r="D246" s="18" t="s">
        <v>774</v>
      </c>
      <c r="E246" s="18" t="s">
        <v>869</v>
      </c>
      <c r="F246" s="18" t="s">
        <v>1125</v>
      </c>
      <c r="G246" s="18" t="s">
        <v>1148</v>
      </c>
      <c r="H246" s="23" t="s">
        <v>1050</v>
      </c>
      <c r="I246" s="23" t="s">
        <v>38</v>
      </c>
      <c r="J246" s="18" t="s">
        <v>1693</v>
      </c>
      <c r="K246" s="18" t="s">
        <v>1345</v>
      </c>
      <c r="L246" s="18" t="s">
        <v>1731</v>
      </c>
      <c r="M246" s="18" t="s">
        <v>1732</v>
      </c>
    </row>
    <row r="247" customFormat="false" ht="34.5" hidden="false" customHeight="true" outlineLevel="0" collapsed="false">
      <c r="A247" s="18" t="n">
        <v>257</v>
      </c>
      <c r="B247" s="18" t="s">
        <v>1733</v>
      </c>
      <c r="C247" s="18" t="s">
        <v>1718</v>
      </c>
      <c r="D247" s="18" t="s">
        <v>774</v>
      </c>
      <c r="E247" s="18" t="s">
        <v>871</v>
      </c>
      <c r="F247" s="18" t="s">
        <v>1125</v>
      </c>
      <c r="G247" s="18" t="s">
        <v>1148</v>
      </c>
      <c r="H247" s="23" t="s">
        <v>1050</v>
      </c>
      <c r="I247" s="23" t="s">
        <v>38</v>
      </c>
      <c r="J247" s="18" t="s">
        <v>1693</v>
      </c>
      <c r="K247" s="18" t="s">
        <v>1345</v>
      </c>
      <c r="L247" s="18" t="s">
        <v>1731</v>
      </c>
      <c r="M247" s="18" t="s">
        <v>1734</v>
      </c>
    </row>
    <row r="248" customFormat="false" ht="23.25" hidden="false" customHeight="true" outlineLevel="0" collapsed="false">
      <c r="A248" s="18" t="n">
        <v>258</v>
      </c>
      <c r="B248" s="18" t="s">
        <v>1735</v>
      </c>
      <c r="C248" s="18" t="s">
        <v>1718</v>
      </c>
      <c r="D248" s="18" t="s">
        <v>774</v>
      </c>
      <c r="E248" s="18" t="s">
        <v>874</v>
      </c>
      <c r="F248" s="18" t="s">
        <v>1125</v>
      </c>
      <c r="G248" s="18" t="s">
        <v>1148</v>
      </c>
      <c r="H248" s="23" t="s">
        <v>1050</v>
      </c>
      <c r="I248" s="20" t="s">
        <v>34</v>
      </c>
      <c r="J248" s="18" t="s">
        <v>1736</v>
      </c>
      <c r="K248" s="18" t="s">
        <v>1737</v>
      </c>
      <c r="L248" s="18" t="s">
        <v>1738</v>
      </c>
      <c r="M248" s="18" t="s">
        <v>1739</v>
      </c>
    </row>
    <row r="249" customFormat="false" ht="23.25" hidden="false" customHeight="true" outlineLevel="0" collapsed="false">
      <c r="A249" s="18" t="n">
        <v>259</v>
      </c>
      <c r="B249" s="18" t="s">
        <v>1740</v>
      </c>
      <c r="C249" s="18" t="s">
        <v>1718</v>
      </c>
      <c r="D249" s="18" t="s">
        <v>774</v>
      </c>
      <c r="E249" s="18" t="s">
        <v>876</v>
      </c>
      <c r="F249" s="18" t="s">
        <v>1741</v>
      </c>
      <c r="G249" s="18" t="s">
        <v>1742</v>
      </c>
      <c r="H249" s="27" t="s">
        <v>1057</v>
      </c>
      <c r="I249" s="23" t="s">
        <v>38</v>
      </c>
      <c r="J249" s="18" t="s">
        <v>1743</v>
      </c>
      <c r="K249" s="18" t="s">
        <v>1744</v>
      </c>
      <c r="L249" s="18" t="s">
        <v>1745</v>
      </c>
      <c r="M249" s="18" t="s">
        <v>1746</v>
      </c>
    </row>
    <row r="250" customFormat="false" ht="23.25" hidden="false" customHeight="true" outlineLevel="0" collapsed="false">
      <c r="A250" s="18" t="n">
        <v>260</v>
      </c>
      <c r="B250" s="18" t="s">
        <v>1747</v>
      </c>
      <c r="C250" s="18" t="s">
        <v>1748</v>
      </c>
      <c r="D250" s="18" t="s">
        <v>774</v>
      </c>
      <c r="E250" s="18" t="s">
        <v>879</v>
      </c>
      <c r="F250" s="18" t="s">
        <v>1399</v>
      </c>
      <c r="G250" s="18"/>
      <c r="H250" s="20" t="s">
        <v>1064</v>
      </c>
      <c r="I250" s="20" t="s">
        <v>34</v>
      </c>
      <c r="J250" s="18"/>
      <c r="K250" s="18" t="s">
        <v>1400</v>
      </c>
      <c r="L250" s="18" t="s">
        <v>1071</v>
      </c>
      <c r="M250" s="18"/>
    </row>
    <row r="251" customFormat="false" ht="34.5" hidden="false" customHeight="true" outlineLevel="0" collapsed="false">
      <c r="A251" s="18" t="n">
        <v>261</v>
      </c>
      <c r="B251" s="18" t="s">
        <v>1749</v>
      </c>
      <c r="C251" s="18" t="s">
        <v>1748</v>
      </c>
      <c r="D251" s="18" t="s">
        <v>774</v>
      </c>
      <c r="E251" s="18" t="s">
        <v>881</v>
      </c>
      <c r="F251" s="18" t="s">
        <v>1125</v>
      </c>
      <c r="G251" s="18" t="s">
        <v>1148</v>
      </c>
      <c r="H251" s="27" t="s">
        <v>1057</v>
      </c>
      <c r="I251" s="23" t="s">
        <v>38</v>
      </c>
      <c r="J251" s="18" t="s">
        <v>1750</v>
      </c>
      <c r="K251" s="18" t="s">
        <v>1720</v>
      </c>
      <c r="L251" s="18" t="s">
        <v>1751</v>
      </c>
      <c r="M251" s="18" t="s">
        <v>1752</v>
      </c>
    </row>
    <row r="252" customFormat="false" ht="34.5" hidden="false" customHeight="true" outlineLevel="0" collapsed="false">
      <c r="A252" s="18" t="n">
        <v>262</v>
      </c>
      <c r="B252" s="18" t="s">
        <v>1753</v>
      </c>
      <c r="C252" s="18" t="s">
        <v>1748</v>
      </c>
      <c r="D252" s="18" t="s">
        <v>774</v>
      </c>
      <c r="E252" s="18" t="s">
        <v>883</v>
      </c>
      <c r="F252" s="18" t="s">
        <v>1125</v>
      </c>
      <c r="G252" s="18" t="s">
        <v>1148</v>
      </c>
      <c r="H252" s="23" t="s">
        <v>1050</v>
      </c>
      <c r="I252" s="23" t="s">
        <v>38</v>
      </c>
      <c r="J252" s="18" t="s">
        <v>1719</v>
      </c>
      <c r="K252" s="18" t="s">
        <v>1699</v>
      </c>
      <c r="L252" s="18" t="s">
        <v>1183</v>
      </c>
      <c r="M252" s="18" t="s">
        <v>1754</v>
      </c>
    </row>
    <row r="253" customFormat="false" ht="34.5" hidden="false" customHeight="true" outlineLevel="0" collapsed="false">
      <c r="A253" s="18" t="n">
        <v>263</v>
      </c>
      <c r="B253" s="18" t="s">
        <v>1755</v>
      </c>
      <c r="C253" s="18" t="s">
        <v>1748</v>
      </c>
      <c r="D253" s="18" t="s">
        <v>774</v>
      </c>
      <c r="E253" s="18" t="s">
        <v>885</v>
      </c>
      <c r="F253" s="18" t="s">
        <v>1125</v>
      </c>
      <c r="G253" s="18" t="s">
        <v>1148</v>
      </c>
      <c r="H253" s="23" t="s">
        <v>1050</v>
      </c>
      <c r="I253" s="23" t="s">
        <v>38</v>
      </c>
      <c r="J253" s="18" t="s">
        <v>1756</v>
      </c>
      <c r="K253" s="18" t="s">
        <v>1699</v>
      </c>
      <c r="L253" s="18" t="s">
        <v>1183</v>
      </c>
      <c r="M253" s="18" t="s">
        <v>1757</v>
      </c>
    </row>
    <row r="254" customFormat="false" ht="23.25" hidden="false" customHeight="true" outlineLevel="0" collapsed="false">
      <c r="A254" s="18" t="n">
        <v>264</v>
      </c>
      <c r="B254" s="18" t="s">
        <v>1758</v>
      </c>
      <c r="C254" s="18" t="s">
        <v>1759</v>
      </c>
      <c r="D254" s="18" t="s">
        <v>774</v>
      </c>
      <c r="E254" s="18" t="s">
        <v>889</v>
      </c>
      <c r="F254" s="18" t="s">
        <v>1125</v>
      </c>
      <c r="G254" s="18" t="s">
        <v>1148</v>
      </c>
      <c r="H254" s="27" t="s">
        <v>1057</v>
      </c>
      <c r="I254" s="23" t="s">
        <v>38</v>
      </c>
      <c r="J254" s="18" t="s">
        <v>1760</v>
      </c>
      <c r="K254" s="18" t="s">
        <v>1761</v>
      </c>
      <c r="L254" s="18" t="s">
        <v>1183</v>
      </c>
      <c r="M254" s="18" t="s">
        <v>1762</v>
      </c>
    </row>
    <row r="255" customFormat="false" ht="15" hidden="false" customHeight="true" outlineLevel="0" collapsed="false">
      <c r="A255" s="18" t="n">
        <v>265</v>
      </c>
      <c r="B255" s="18" t="s">
        <v>1763</v>
      </c>
      <c r="C255" s="18" t="s">
        <v>1759</v>
      </c>
      <c r="D255" s="18" t="s">
        <v>774</v>
      </c>
      <c r="E255" s="18" t="s">
        <v>893</v>
      </c>
      <c r="F255" s="18" t="s">
        <v>1764</v>
      </c>
      <c r="G255" s="18" t="s">
        <v>1073</v>
      </c>
      <c r="H255" s="23" t="s">
        <v>1050</v>
      </c>
      <c r="I255" s="23" t="s">
        <v>38</v>
      </c>
      <c r="J255" s="18" t="s">
        <v>1765</v>
      </c>
      <c r="K255" s="18" t="s">
        <v>1766</v>
      </c>
      <c r="L255" s="18" t="s">
        <v>1767</v>
      </c>
      <c r="M255" s="18" t="s">
        <v>1768</v>
      </c>
    </row>
    <row r="256" customFormat="false" ht="23.25" hidden="false" customHeight="true" outlineLevel="0" collapsed="false">
      <c r="A256" s="18" t="n">
        <v>266</v>
      </c>
      <c r="B256" s="18" t="s">
        <v>1769</v>
      </c>
      <c r="C256" s="18" t="s">
        <v>1759</v>
      </c>
      <c r="D256" s="18" t="s">
        <v>774</v>
      </c>
      <c r="E256" s="18" t="s">
        <v>896</v>
      </c>
      <c r="F256" s="18" t="s">
        <v>1148</v>
      </c>
      <c r="G256" s="18" t="s">
        <v>1125</v>
      </c>
      <c r="H256" s="23" t="s">
        <v>1050</v>
      </c>
      <c r="I256" s="23" t="s">
        <v>38</v>
      </c>
      <c r="J256" s="18" t="s">
        <v>1770</v>
      </c>
      <c r="K256" s="18" t="s">
        <v>1771</v>
      </c>
      <c r="L256" s="18" t="s">
        <v>1772</v>
      </c>
      <c r="M256" s="18" t="s">
        <v>1773</v>
      </c>
    </row>
    <row r="257" customFormat="false" ht="34.5" hidden="false" customHeight="true" outlineLevel="0" collapsed="false">
      <c r="A257" s="18" t="n">
        <v>267</v>
      </c>
      <c r="B257" s="18" t="s">
        <v>1774</v>
      </c>
      <c r="C257" s="18" t="s">
        <v>1759</v>
      </c>
      <c r="D257" s="18" t="s">
        <v>774</v>
      </c>
      <c r="E257" s="18" t="s">
        <v>899</v>
      </c>
      <c r="F257" s="18" t="s">
        <v>1399</v>
      </c>
      <c r="G257" s="18"/>
      <c r="H257" s="20" t="s">
        <v>1064</v>
      </c>
      <c r="I257" s="20" t="s">
        <v>34</v>
      </c>
      <c r="J257" s="18"/>
      <c r="K257" s="18" t="s">
        <v>1400</v>
      </c>
      <c r="L257" s="18" t="s">
        <v>1071</v>
      </c>
      <c r="M257" s="18"/>
    </row>
    <row r="258" customFormat="false" ht="23.25" hidden="false" customHeight="true" outlineLevel="0" collapsed="false">
      <c r="A258" s="18" t="n">
        <v>268</v>
      </c>
      <c r="B258" s="18" t="s">
        <v>1775</v>
      </c>
      <c r="C258" s="18" t="s">
        <v>1759</v>
      </c>
      <c r="D258" s="18" t="s">
        <v>774</v>
      </c>
      <c r="E258" s="18" t="s">
        <v>902</v>
      </c>
      <c r="F258" s="18" t="s">
        <v>1639</v>
      </c>
      <c r="G258" s="18" t="s">
        <v>1640</v>
      </c>
      <c r="H258" s="23" t="s">
        <v>1050</v>
      </c>
      <c r="I258" s="24" t="s">
        <v>36</v>
      </c>
      <c r="J258" s="18" t="s">
        <v>1776</v>
      </c>
      <c r="K258" s="18" t="s">
        <v>1699</v>
      </c>
      <c r="L258" s="18" t="s">
        <v>1777</v>
      </c>
      <c r="M258" s="18" t="s">
        <v>1778</v>
      </c>
    </row>
    <row r="259" customFormat="false" ht="23.25" hidden="false" customHeight="true" outlineLevel="0" collapsed="false">
      <c r="A259" s="18" t="n">
        <v>269</v>
      </c>
      <c r="B259" s="18" t="s">
        <v>1779</v>
      </c>
      <c r="C259" s="18" t="s">
        <v>1759</v>
      </c>
      <c r="D259" s="18" t="s">
        <v>774</v>
      </c>
      <c r="E259" s="18" t="s">
        <v>903</v>
      </c>
      <c r="F259" s="18" t="s">
        <v>1148</v>
      </c>
      <c r="G259" s="18" t="s">
        <v>1125</v>
      </c>
      <c r="H259" s="23" t="s">
        <v>1050</v>
      </c>
      <c r="I259" s="20" t="s">
        <v>34</v>
      </c>
      <c r="J259" s="18"/>
      <c r="K259" s="18" t="s">
        <v>1780</v>
      </c>
      <c r="L259" s="18" t="s">
        <v>1071</v>
      </c>
      <c r="M259" s="18" t="s">
        <v>1781</v>
      </c>
    </row>
    <row r="260" customFormat="false" ht="23.25" hidden="false" customHeight="true" outlineLevel="0" collapsed="false">
      <c r="A260" s="18" t="n">
        <v>270</v>
      </c>
      <c r="B260" s="18" t="s">
        <v>1782</v>
      </c>
      <c r="C260" s="18" t="s">
        <v>1759</v>
      </c>
      <c r="D260" s="18" t="s">
        <v>774</v>
      </c>
      <c r="E260" s="18" t="s">
        <v>905</v>
      </c>
      <c r="F260" s="18" t="s">
        <v>1783</v>
      </c>
      <c r="G260" s="18" t="s">
        <v>1125</v>
      </c>
      <c r="H260" s="23" t="s">
        <v>1050</v>
      </c>
      <c r="I260" s="24" t="s">
        <v>36</v>
      </c>
      <c r="J260" s="18" t="s">
        <v>1784</v>
      </c>
      <c r="K260" s="18" t="s">
        <v>1785</v>
      </c>
      <c r="L260" s="18" t="s">
        <v>1786</v>
      </c>
      <c r="M260" s="18" t="s">
        <v>1787</v>
      </c>
    </row>
    <row r="261" customFormat="false" ht="23.25" hidden="false" customHeight="true" outlineLevel="0" collapsed="false">
      <c r="A261" s="18" t="n">
        <v>271</v>
      </c>
      <c r="B261" s="18" t="s">
        <v>1788</v>
      </c>
      <c r="C261" s="18" t="s">
        <v>1789</v>
      </c>
      <c r="D261" s="18" t="s">
        <v>908</v>
      </c>
      <c r="E261" s="18" t="s">
        <v>910</v>
      </c>
      <c r="F261" s="18" t="s">
        <v>1790</v>
      </c>
      <c r="G261" s="18" t="s">
        <v>1065</v>
      </c>
      <c r="H261" s="20" t="s">
        <v>1064</v>
      </c>
      <c r="I261" s="24" t="s">
        <v>36</v>
      </c>
      <c r="J261" s="18" t="s">
        <v>1051</v>
      </c>
      <c r="K261" s="18" t="s">
        <v>1791</v>
      </c>
      <c r="L261" s="18" t="s">
        <v>1792</v>
      </c>
      <c r="M261" s="18"/>
    </row>
    <row r="262" customFormat="false" ht="23.25" hidden="false" customHeight="true" outlineLevel="0" collapsed="false">
      <c r="A262" s="18" t="n">
        <v>272</v>
      </c>
      <c r="B262" s="18" t="s">
        <v>1793</v>
      </c>
      <c r="C262" s="18" t="s">
        <v>1789</v>
      </c>
      <c r="D262" s="18" t="s">
        <v>908</v>
      </c>
      <c r="E262" s="18" t="s">
        <v>913</v>
      </c>
      <c r="F262" s="18" t="s">
        <v>1790</v>
      </c>
      <c r="G262" s="18" t="s">
        <v>1065</v>
      </c>
      <c r="H262" s="20" t="s">
        <v>1064</v>
      </c>
      <c r="I262" s="24" t="s">
        <v>36</v>
      </c>
      <c r="J262" s="18" t="s">
        <v>1794</v>
      </c>
      <c r="K262" s="18" t="s">
        <v>1791</v>
      </c>
      <c r="L262" s="18" t="s">
        <v>1792</v>
      </c>
      <c r="M262" s="18"/>
    </row>
    <row r="263" customFormat="false" ht="23.25" hidden="false" customHeight="true" outlineLevel="0" collapsed="false">
      <c r="A263" s="18" t="n">
        <v>273</v>
      </c>
      <c r="B263" s="18" t="s">
        <v>1795</v>
      </c>
      <c r="C263" s="18" t="s">
        <v>1796</v>
      </c>
      <c r="D263" s="18" t="s">
        <v>915</v>
      </c>
      <c r="E263" s="18" t="s">
        <v>917</v>
      </c>
      <c r="F263" s="18" t="s">
        <v>1125</v>
      </c>
      <c r="G263" s="18" t="s">
        <v>1148</v>
      </c>
      <c r="H263" s="23" t="s">
        <v>1050</v>
      </c>
      <c r="I263" s="24" t="s">
        <v>36</v>
      </c>
      <c r="J263" s="18" t="s">
        <v>1797</v>
      </c>
      <c r="K263" s="18" t="s">
        <v>1798</v>
      </c>
      <c r="L263" s="18" t="s">
        <v>1799</v>
      </c>
      <c r="M263" s="18" t="s">
        <v>1800</v>
      </c>
    </row>
    <row r="264" customFormat="false" ht="23.25" hidden="false" customHeight="true" outlineLevel="0" collapsed="false">
      <c r="A264" s="18" t="n">
        <v>274</v>
      </c>
      <c r="B264" s="18" t="s">
        <v>1801</v>
      </c>
      <c r="C264" s="18" t="s">
        <v>1802</v>
      </c>
      <c r="D264" s="18" t="s">
        <v>915</v>
      </c>
      <c r="E264" s="18" t="s">
        <v>921</v>
      </c>
      <c r="F264" s="18" t="s">
        <v>1803</v>
      </c>
      <c r="G264" s="18" t="s">
        <v>1804</v>
      </c>
      <c r="H264" s="22" t="s">
        <v>1092</v>
      </c>
      <c r="I264" s="24" t="s">
        <v>36</v>
      </c>
      <c r="J264" s="18" t="s">
        <v>1805</v>
      </c>
      <c r="K264" s="18" t="s">
        <v>1806</v>
      </c>
      <c r="L264" s="18" t="s">
        <v>1807</v>
      </c>
      <c r="M264" s="18" t="s">
        <v>1808</v>
      </c>
    </row>
    <row r="265" customFormat="false" ht="23.25" hidden="false" customHeight="true" outlineLevel="0" collapsed="false">
      <c r="A265" s="18" t="n">
        <v>275</v>
      </c>
      <c r="B265" s="18" t="s">
        <v>1809</v>
      </c>
      <c r="C265" s="18" t="s">
        <v>1802</v>
      </c>
      <c r="D265" s="18" t="s">
        <v>915</v>
      </c>
      <c r="E265" s="18" t="s">
        <v>926</v>
      </c>
      <c r="F265" s="18" t="s">
        <v>1803</v>
      </c>
      <c r="G265" s="18" t="s">
        <v>1804</v>
      </c>
      <c r="H265" s="22" t="s">
        <v>1092</v>
      </c>
      <c r="I265" s="24" t="s">
        <v>36</v>
      </c>
      <c r="J265" s="18" t="s">
        <v>1810</v>
      </c>
      <c r="K265" s="18" t="s">
        <v>1806</v>
      </c>
      <c r="L265" s="18" t="s">
        <v>1807</v>
      </c>
      <c r="M265" s="18" t="s">
        <v>1811</v>
      </c>
    </row>
    <row r="266" customFormat="false" ht="23.25" hidden="false" customHeight="true" outlineLevel="0" collapsed="false">
      <c r="A266" s="18" t="n">
        <v>276</v>
      </c>
      <c r="B266" s="18" t="s">
        <v>1812</v>
      </c>
      <c r="C266" s="18" t="s">
        <v>1260</v>
      </c>
      <c r="D266" s="18" t="s">
        <v>915</v>
      </c>
      <c r="E266" s="18" t="s">
        <v>932</v>
      </c>
      <c r="F266" s="18" t="s">
        <v>1803</v>
      </c>
      <c r="G266" s="18" t="s">
        <v>1804</v>
      </c>
      <c r="H266" s="22" t="s">
        <v>1092</v>
      </c>
      <c r="I266" s="24" t="s">
        <v>36</v>
      </c>
      <c r="J266" s="18" t="s">
        <v>1813</v>
      </c>
      <c r="K266" s="18" t="s">
        <v>1806</v>
      </c>
      <c r="L266" s="18" t="s">
        <v>1807</v>
      </c>
      <c r="M266" s="18" t="s">
        <v>1814</v>
      </c>
    </row>
    <row r="267" customFormat="false" ht="23.25" hidden="false" customHeight="true" outlineLevel="0" collapsed="false">
      <c r="A267" s="18" t="n">
        <v>277</v>
      </c>
      <c r="B267" s="18" t="s">
        <v>1815</v>
      </c>
      <c r="C267" s="18" t="s">
        <v>1802</v>
      </c>
      <c r="D267" s="18" t="s">
        <v>915</v>
      </c>
      <c r="E267" s="18" t="s">
        <v>935</v>
      </c>
      <c r="F267" s="18" t="s">
        <v>1803</v>
      </c>
      <c r="G267" s="18" t="s">
        <v>1804</v>
      </c>
      <c r="H267" s="22" t="s">
        <v>1092</v>
      </c>
      <c r="I267" s="24" t="s">
        <v>36</v>
      </c>
      <c r="J267" s="18" t="s">
        <v>1816</v>
      </c>
      <c r="K267" s="18" t="s">
        <v>1806</v>
      </c>
      <c r="L267" s="18" t="s">
        <v>1807</v>
      </c>
      <c r="M267" s="18" t="s">
        <v>1817</v>
      </c>
    </row>
    <row r="268" customFormat="false" ht="23.25" hidden="false" customHeight="true" outlineLevel="0" collapsed="false">
      <c r="A268" s="18" t="n">
        <v>278</v>
      </c>
      <c r="B268" s="18" t="s">
        <v>1818</v>
      </c>
      <c r="C268" s="18" t="s">
        <v>1802</v>
      </c>
      <c r="D268" s="18" t="s">
        <v>915</v>
      </c>
      <c r="E268" s="18" t="s">
        <v>939</v>
      </c>
      <c r="F268" s="18" t="s">
        <v>1803</v>
      </c>
      <c r="G268" s="18" t="s">
        <v>1804</v>
      </c>
      <c r="H268" s="22" t="s">
        <v>1092</v>
      </c>
      <c r="I268" s="24" t="s">
        <v>36</v>
      </c>
      <c r="J268" s="18" t="s">
        <v>1819</v>
      </c>
      <c r="K268" s="18" t="s">
        <v>1806</v>
      </c>
      <c r="L268" s="18" t="s">
        <v>1807</v>
      </c>
      <c r="M268" s="18" t="s">
        <v>1820</v>
      </c>
    </row>
  </sheetData>
  <autoFilter ref="A1:M2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30"/>
    <col collapsed="false" customWidth="true" hidden="false" outlineLevel="0" max="4" min="4" style="1" width="36"/>
    <col collapsed="false" customWidth="true" hidden="false" outlineLevel="0" max="5" min="5" style="1" width="44"/>
    <col collapsed="false" customWidth="true" hidden="false" outlineLevel="0" max="6" min="6" style="1" width="36"/>
    <col collapsed="false" customWidth="true" hidden="false" outlineLevel="0" max="7" min="7" style="1" width="30"/>
    <col collapsed="false" customWidth="true" hidden="false" outlineLevel="0" max="8" min="8" style="1" width="70"/>
    <col collapsed="false" customWidth="true" hidden="false" outlineLevel="0" max="9" min="9" style="1" width="40"/>
    <col collapsed="false" customWidth="true" hidden="false" outlineLevel="0" max="10" min="10" style="1" width="34"/>
    <col collapsed="false" customWidth="true" hidden="false" outlineLevel="0" max="11" min="11" style="1" width="20"/>
  </cols>
  <sheetData>
    <row r="1" customFormat="false" ht="26.25" hidden="false" customHeight="true" outlineLevel="0" collapsed="false">
      <c r="A1" s="17" t="s">
        <v>1821</v>
      </c>
      <c r="B1" s="17" t="s">
        <v>1822</v>
      </c>
      <c r="C1" s="17" t="s">
        <v>1823</v>
      </c>
      <c r="D1" s="17" t="s">
        <v>1824</v>
      </c>
      <c r="E1" s="17" t="s">
        <v>1825</v>
      </c>
      <c r="F1" s="17" t="s">
        <v>1826</v>
      </c>
      <c r="G1" s="17" t="s">
        <v>1827</v>
      </c>
      <c r="H1" s="17" t="s">
        <v>1828</v>
      </c>
      <c r="I1" s="17" t="s">
        <v>1829</v>
      </c>
      <c r="J1" s="17" t="s">
        <v>1830</v>
      </c>
      <c r="K1" s="17" t="s">
        <v>1831</v>
      </c>
    </row>
    <row r="2" customFormat="false" ht="102" hidden="false" customHeight="true" outlineLevel="0" collapsed="false">
      <c r="A2" s="18" t="s">
        <v>1832</v>
      </c>
      <c r="B2" s="28" t="s">
        <v>1833</v>
      </c>
      <c r="C2" s="18" t="s">
        <v>1834</v>
      </c>
      <c r="D2" s="18" t="s">
        <v>1835</v>
      </c>
      <c r="E2" s="18" t="s">
        <v>1836</v>
      </c>
      <c r="F2" s="18" t="s">
        <v>1837</v>
      </c>
      <c r="G2" s="18" t="s">
        <v>1838</v>
      </c>
      <c r="H2" s="20" t="s">
        <v>1839</v>
      </c>
      <c r="I2" s="23" t="s">
        <v>1840</v>
      </c>
      <c r="J2" s="18" t="s">
        <v>1841</v>
      </c>
      <c r="K2" s="18" t="s">
        <v>1842</v>
      </c>
    </row>
    <row r="3" customFormat="false" ht="135.75" hidden="false" customHeight="true" outlineLevel="0" collapsed="false">
      <c r="A3" s="18" t="s">
        <v>1843</v>
      </c>
      <c r="B3" s="28" t="s">
        <v>1844</v>
      </c>
      <c r="C3" s="18" t="s">
        <v>1845</v>
      </c>
      <c r="D3" s="18" t="s">
        <v>1846</v>
      </c>
      <c r="E3" s="18" t="s">
        <v>1847</v>
      </c>
      <c r="F3" s="18" t="s">
        <v>1848</v>
      </c>
      <c r="G3" s="18" t="s">
        <v>1849</v>
      </c>
      <c r="H3" s="20" t="s">
        <v>1850</v>
      </c>
      <c r="I3" s="23" t="s">
        <v>1851</v>
      </c>
      <c r="J3" s="18" t="s">
        <v>1852</v>
      </c>
      <c r="K3" s="18" t="s">
        <v>1853</v>
      </c>
    </row>
    <row r="4" customFormat="false" ht="90.75" hidden="false" customHeight="true" outlineLevel="0" collapsed="false">
      <c r="A4" s="18" t="s">
        <v>1854</v>
      </c>
      <c r="B4" s="28" t="s">
        <v>1855</v>
      </c>
      <c r="C4" s="18" t="s">
        <v>1856</v>
      </c>
      <c r="D4" s="18" t="s">
        <v>1857</v>
      </c>
      <c r="E4" s="18" t="s">
        <v>1858</v>
      </c>
      <c r="F4" s="18" t="s">
        <v>1859</v>
      </c>
      <c r="G4" s="18" t="s">
        <v>1860</v>
      </c>
      <c r="H4" s="20" t="s">
        <v>1861</v>
      </c>
      <c r="I4" s="23" t="s">
        <v>1862</v>
      </c>
      <c r="J4" s="18" t="s">
        <v>1863</v>
      </c>
      <c r="K4" s="18" t="s">
        <v>1864</v>
      </c>
    </row>
    <row r="5" customFormat="false" ht="113.25" hidden="false" customHeight="true" outlineLevel="0" collapsed="false">
      <c r="A5" s="18" t="s">
        <v>1865</v>
      </c>
      <c r="B5" s="28" t="s">
        <v>1866</v>
      </c>
      <c r="C5" s="18" t="s">
        <v>1867</v>
      </c>
      <c r="D5" s="18" t="s">
        <v>1868</v>
      </c>
      <c r="E5" s="18" t="s">
        <v>1869</v>
      </c>
      <c r="F5" s="18" t="s">
        <v>1870</v>
      </c>
      <c r="G5" s="18" t="s">
        <v>1871</v>
      </c>
      <c r="H5" s="20" t="s">
        <v>1872</v>
      </c>
      <c r="I5" s="23" t="s">
        <v>1873</v>
      </c>
      <c r="J5" s="18" t="s">
        <v>1874</v>
      </c>
      <c r="K5" s="18" t="s">
        <v>1875</v>
      </c>
    </row>
    <row r="6" customFormat="false" ht="57" hidden="false" customHeight="true" outlineLevel="0" collapsed="false">
      <c r="A6" s="18" t="s">
        <v>1876</v>
      </c>
      <c r="B6" s="28" t="s">
        <v>1877</v>
      </c>
      <c r="C6" s="18" t="s">
        <v>1878</v>
      </c>
      <c r="D6" s="18" t="s">
        <v>1879</v>
      </c>
      <c r="E6" s="18" t="s">
        <v>1880</v>
      </c>
      <c r="F6" s="18" t="s">
        <v>1881</v>
      </c>
      <c r="G6" s="18" t="s">
        <v>1882</v>
      </c>
      <c r="H6" s="20" t="s">
        <v>1883</v>
      </c>
      <c r="I6" s="23" t="s">
        <v>1884</v>
      </c>
      <c r="J6" s="18" t="s">
        <v>1885</v>
      </c>
      <c r="K6" s="18" t="s">
        <v>1875</v>
      </c>
    </row>
    <row r="7" customFormat="false" ht="102" hidden="false" customHeight="true" outlineLevel="0" collapsed="false">
      <c r="A7" s="18" t="s">
        <v>1886</v>
      </c>
      <c r="B7" s="28" t="s">
        <v>1887</v>
      </c>
      <c r="C7" s="18" t="s">
        <v>1888</v>
      </c>
      <c r="D7" s="18" t="s">
        <v>1889</v>
      </c>
      <c r="E7" s="18" t="s">
        <v>1890</v>
      </c>
      <c r="F7" s="18" t="s">
        <v>1891</v>
      </c>
      <c r="G7" s="18" t="s">
        <v>1892</v>
      </c>
      <c r="H7" s="20" t="s">
        <v>1893</v>
      </c>
      <c r="I7" s="23" t="s">
        <v>1894</v>
      </c>
      <c r="J7" s="18" t="s">
        <v>1895</v>
      </c>
      <c r="K7" s="18" t="s">
        <v>1875</v>
      </c>
    </row>
    <row r="8" customFormat="false" ht="102" hidden="false" customHeight="true" outlineLevel="0" collapsed="false">
      <c r="A8" s="18" t="s">
        <v>1896</v>
      </c>
      <c r="B8" s="28" t="s">
        <v>1897</v>
      </c>
      <c r="C8" s="18" t="s">
        <v>1898</v>
      </c>
      <c r="D8" s="18" t="s">
        <v>1899</v>
      </c>
      <c r="E8" s="18" t="s">
        <v>1900</v>
      </c>
      <c r="F8" s="18" t="s">
        <v>1901</v>
      </c>
      <c r="G8" s="18" t="s">
        <v>1902</v>
      </c>
      <c r="H8" s="20" t="s">
        <v>1903</v>
      </c>
      <c r="I8" s="23" t="s">
        <v>1904</v>
      </c>
      <c r="J8" s="18" t="s">
        <v>1905</v>
      </c>
      <c r="K8" s="18" t="s">
        <v>1875</v>
      </c>
    </row>
    <row r="9" customFormat="false" ht="102" hidden="false" customHeight="true" outlineLevel="0" collapsed="false">
      <c r="A9" s="18" t="s">
        <v>1906</v>
      </c>
      <c r="B9" s="28" t="s">
        <v>1907</v>
      </c>
      <c r="C9" s="18" t="s">
        <v>1908</v>
      </c>
      <c r="D9" s="18" t="s">
        <v>1909</v>
      </c>
      <c r="E9" s="18" t="s">
        <v>1910</v>
      </c>
      <c r="F9" s="18" t="s">
        <v>1911</v>
      </c>
      <c r="G9" s="18" t="s">
        <v>1912</v>
      </c>
      <c r="H9" s="20" t="s">
        <v>1913</v>
      </c>
      <c r="I9" s="23" t="s">
        <v>1914</v>
      </c>
      <c r="J9" s="18" t="s">
        <v>1915</v>
      </c>
      <c r="K9" s="18" t="s">
        <v>1875</v>
      </c>
    </row>
    <row r="10" customFormat="false" ht="102" hidden="false" customHeight="true" outlineLevel="0" collapsed="false">
      <c r="A10" s="18" t="s">
        <v>1916</v>
      </c>
      <c r="B10" s="28" t="s">
        <v>1917</v>
      </c>
      <c r="C10" s="18" t="s">
        <v>1918</v>
      </c>
      <c r="D10" s="18" t="s">
        <v>1919</v>
      </c>
      <c r="E10" s="18" t="s">
        <v>1920</v>
      </c>
      <c r="F10" s="18" t="s">
        <v>1921</v>
      </c>
      <c r="G10" s="18" t="s">
        <v>1922</v>
      </c>
      <c r="H10" s="20" t="s">
        <v>1923</v>
      </c>
      <c r="I10" s="23" t="s">
        <v>1924</v>
      </c>
      <c r="J10" s="18" t="s">
        <v>1925</v>
      </c>
      <c r="K10" s="18" t="s">
        <v>1875</v>
      </c>
    </row>
    <row r="11" customFormat="false" ht="57" hidden="false" customHeight="true" outlineLevel="0" collapsed="false">
      <c r="A11" s="18" t="s">
        <v>1926</v>
      </c>
      <c r="B11" s="28" t="s">
        <v>1927</v>
      </c>
      <c r="C11" s="18" t="s">
        <v>1928</v>
      </c>
      <c r="D11" s="18" t="s">
        <v>1929</v>
      </c>
      <c r="E11" s="18" t="s">
        <v>1930</v>
      </c>
      <c r="F11" s="18" t="s">
        <v>1931</v>
      </c>
      <c r="G11" s="18" t="s">
        <v>1932</v>
      </c>
      <c r="H11" s="20" t="s">
        <v>1933</v>
      </c>
      <c r="I11" s="23" t="s">
        <v>1934</v>
      </c>
      <c r="J11" s="18" t="s">
        <v>1935</v>
      </c>
      <c r="K11" s="18" t="s">
        <v>1875</v>
      </c>
    </row>
    <row r="12" customFormat="false" ht="57" hidden="false" customHeight="true" outlineLevel="0" collapsed="false">
      <c r="A12" s="18" t="s">
        <v>1936</v>
      </c>
      <c r="B12" s="28" t="s">
        <v>1937</v>
      </c>
      <c r="C12" s="18" t="s">
        <v>1938</v>
      </c>
      <c r="D12" s="18" t="s">
        <v>1939</v>
      </c>
      <c r="E12" s="18" t="s">
        <v>1940</v>
      </c>
      <c r="F12" s="18" t="s">
        <v>1941</v>
      </c>
      <c r="G12" s="18" t="s">
        <v>1942</v>
      </c>
      <c r="H12" s="20" t="s">
        <v>1943</v>
      </c>
      <c r="I12" s="23" t="s">
        <v>1944</v>
      </c>
      <c r="J12" s="18" t="s">
        <v>1945</v>
      </c>
      <c r="K12" s="18" t="s">
        <v>1875</v>
      </c>
    </row>
    <row r="13" customFormat="false" ht="57" hidden="false" customHeight="true" outlineLevel="0" collapsed="false">
      <c r="A13" s="18" t="s">
        <v>1946</v>
      </c>
      <c r="B13" s="28" t="s">
        <v>1947</v>
      </c>
      <c r="C13" s="18" t="s">
        <v>1948</v>
      </c>
      <c r="D13" s="18" t="s">
        <v>1949</v>
      </c>
      <c r="E13" s="18" t="s">
        <v>1950</v>
      </c>
      <c r="F13" s="18" t="s">
        <v>1951</v>
      </c>
      <c r="G13" s="18" t="s">
        <v>1952</v>
      </c>
      <c r="H13" s="20" t="s">
        <v>1953</v>
      </c>
      <c r="I13" s="23" t="s">
        <v>1954</v>
      </c>
      <c r="J13" s="18" t="s">
        <v>1955</v>
      </c>
      <c r="K13" s="18" t="s">
        <v>1875</v>
      </c>
    </row>
    <row r="14" customFormat="false" ht="79.5" hidden="false" customHeight="true" outlineLevel="0" collapsed="false">
      <c r="A14" s="18" t="s">
        <v>1956</v>
      </c>
      <c r="B14" s="28" t="s">
        <v>1957</v>
      </c>
      <c r="C14" s="18" t="s">
        <v>1958</v>
      </c>
      <c r="D14" s="18" t="s">
        <v>1959</v>
      </c>
      <c r="E14" s="18" t="s">
        <v>1960</v>
      </c>
      <c r="F14" s="18" t="s">
        <v>1961</v>
      </c>
      <c r="G14" s="18" t="s">
        <v>1962</v>
      </c>
      <c r="H14" s="20" t="s">
        <v>1963</v>
      </c>
      <c r="I14" s="23" t="s">
        <v>1964</v>
      </c>
      <c r="J14" s="18" t="s">
        <v>1965</v>
      </c>
      <c r="K14" s="18" t="s">
        <v>1875</v>
      </c>
    </row>
    <row r="15" customFormat="false" ht="79.5" hidden="false" customHeight="true" outlineLevel="0" collapsed="false">
      <c r="A15" s="18" t="s">
        <v>1966</v>
      </c>
      <c r="B15" s="28" t="s">
        <v>285</v>
      </c>
      <c r="C15" s="18" t="s">
        <v>1967</v>
      </c>
      <c r="D15" s="18" t="s">
        <v>1968</v>
      </c>
      <c r="E15" s="18" t="s">
        <v>1969</v>
      </c>
      <c r="F15" s="18" t="s">
        <v>1970</v>
      </c>
      <c r="G15" s="18" t="s">
        <v>1971</v>
      </c>
      <c r="H15" s="20" t="s">
        <v>1972</v>
      </c>
      <c r="I15" s="23" t="s">
        <v>1973</v>
      </c>
      <c r="J15" s="18" t="s">
        <v>1974</v>
      </c>
      <c r="K15" s="18" t="s">
        <v>1875</v>
      </c>
    </row>
    <row r="16" customFormat="false" ht="68.25" hidden="false" customHeight="true" outlineLevel="0" collapsed="false">
      <c r="A16" s="18" t="s">
        <v>1975</v>
      </c>
      <c r="B16" s="28" t="s">
        <v>293</v>
      </c>
      <c r="C16" s="18" t="s">
        <v>1976</v>
      </c>
      <c r="D16" s="18" t="s">
        <v>1977</v>
      </c>
      <c r="E16" s="18" t="s">
        <v>1978</v>
      </c>
      <c r="F16" s="18" t="s">
        <v>1979</v>
      </c>
      <c r="G16" s="18" t="s">
        <v>1980</v>
      </c>
      <c r="H16" s="20" t="s">
        <v>1981</v>
      </c>
      <c r="I16" s="23" t="s">
        <v>1982</v>
      </c>
      <c r="J16" s="18" t="s">
        <v>1983</v>
      </c>
      <c r="K16" s="18" t="s">
        <v>1875</v>
      </c>
    </row>
    <row r="17" customFormat="false" ht="45.75" hidden="false" customHeight="true" outlineLevel="0" collapsed="false">
      <c r="A17" s="18" t="s">
        <v>1984</v>
      </c>
      <c r="B17" s="28" t="s">
        <v>1985</v>
      </c>
      <c r="C17" s="18" t="s">
        <v>1986</v>
      </c>
      <c r="D17" s="18" t="s">
        <v>1987</v>
      </c>
      <c r="E17" s="18" t="s">
        <v>1988</v>
      </c>
      <c r="F17" s="18" t="s">
        <v>1989</v>
      </c>
      <c r="G17" s="18" t="s">
        <v>1990</v>
      </c>
      <c r="H17" s="20" t="s">
        <v>1991</v>
      </c>
      <c r="I17" s="23" t="s">
        <v>1992</v>
      </c>
      <c r="J17" s="18" t="s">
        <v>1993</v>
      </c>
      <c r="K17" s="18" t="s">
        <v>1875</v>
      </c>
    </row>
    <row r="18" customFormat="false" ht="34.5" hidden="false" customHeight="true" outlineLevel="0" collapsed="false">
      <c r="A18" s="18" t="s">
        <v>1994</v>
      </c>
      <c r="B18" s="28" t="s">
        <v>1995</v>
      </c>
      <c r="C18" s="18" t="s">
        <v>1996</v>
      </c>
      <c r="D18" s="18" t="s">
        <v>1997</v>
      </c>
      <c r="E18" s="18" t="s">
        <v>1998</v>
      </c>
      <c r="F18" s="18" t="s">
        <v>1999</v>
      </c>
      <c r="G18" s="18" t="s">
        <v>2000</v>
      </c>
      <c r="H18" s="20" t="s">
        <v>2001</v>
      </c>
      <c r="I18" s="23" t="s">
        <v>2002</v>
      </c>
      <c r="J18" s="18" t="s">
        <v>2003</v>
      </c>
      <c r="K18" s="18" t="s">
        <v>1875</v>
      </c>
    </row>
    <row r="19" customFormat="false" ht="68.25" hidden="false" customHeight="true" outlineLevel="0" collapsed="false">
      <c r="A19" s="18" t="s">
        <v>2004</v>
      </c>
      <c r="B19" s="28" t="s">
        <v>2005</v>
      </c>
      <c r="C19" s="18" t="s">
        <v>2006</v>
      </c>
      <c r="D19" s="18" t="s">
        <v>2007</v>
      </c>
      <c r="E19" s="18" t="s">
        <v>2008</v>
      </c>
      <c r="F19" s="18" t="s">
        <v>2009</v>
      </c>
      <c r="G19" s="18" t="s">
        <v>2010</v>
      </c>
      <c r="H19" s="20" t="s">
        <v>2011</v>
      </c>
      <c r="I19" s="23" t="s">
        <v>2012</v>
      </c>
      <c r="J19" s="18" t="s">
        <v>2013</v>
      </c>
      <c r="K19" s="18" t="s">
        <v>1875</v>
      </c>
    </row>
    <row r="20" customFormat="false" ht="90.75" hidden="false" customHeight="true" outlineLevel="0" collapsed="false">
      <c r="A20" s="18" t="s">
        <v>2014</v>
      </c>
      <c r="B20" s="28" t="s">
        <v>2015</v>
      </c>
      <c r="C20" s="18" t="s">
        <v>2016</v>
      </c>
      <c r="D20" s="18" t="s">
        <v>2017</v>
      </c>
      <c r="E20" s="18" t="s">
        <v>2018</v>
      </c>
      <c r="F20" s="18" t="s">
        <v>2019</v>
      </c>
      <c r="G20" s="18" t="s">
        <v>2020</v>
      </c>
      <c r="H20" s="20" t="s">
        <v>2021</v>
      </c>
      <c r="I20" s="23" t="s">
        <v>2022</v>
      </c>
      <c r="J20" s="18" t="s">
        <v>2023</v>
      </c>
      <c r="K20" s="18" t="s">
        <v>1875</v>
      </c>
    </row>
    <row r="21" customFormat="false" ht="57" hidden="false" customHeight="true" outlineLevel="0" collapsed="false">
      <c r="A21" s="18" t="s">
        <v>2024</v>
      </c>
      <c r="B21" s="28" t="s">
        <v>2025</v>
      </c>
      <c r="C21" s="18" t="s">
        <v>2026</v>
      </c>
      <c r="D21" s="18" t="s">
        <v>2027</v>
      </c>
      <c r="E21" s="18" t="s">
        <v>2028</v>
      </c>
      <c r="F21" s="18" t="s">
        <v>2029</v>
      </c>
      <c r="G21" s="18" t="s">
        <v>2030</v>
      </c>
      <c r="H21" s="20" t="s">
        <v>2031</v>
      </c>
      <c r="I21" s="23" t="s">
        <v>2032</v>
      </c>
      <c r="J21" s="18" t="s">
        <v>2033</v>
      </c>
      <c r="K21" s="18" t="s">
        <v>1875</v>
      </c>
    </row>
    <row r="22" customFormat="false" ht="45.75" hidden="false" customHeight="true" outlineLevel="0" collapsed="false">
      <c r="A22" s="18" t="s">
        <v>2034</v>
      </c>
      <c r="B22" s="28" t="s">
        <v>2035</v>
      </c>
      <c r="C22" s="18" t="s">
        <v>2036</v>
      </c>
      <c r="D22" s="18" t="s">
        <v>2037</v>
      </c>
      <c r="E22" s="18" t="s">
        <v>2038</v>
      </c>
      <c r="F22" s="18" t="s">
        <v>2039</v>
      </c>
      <c r="G22" s="18" t="s">
        <v>2040</v>
      </c>
      <c r="H22" s="20" t="s">
        <v>2041</v>
      </c>
      <c r="I22" s="23" t="s">
        <v>2042</v>
      </c>
      <c r="J22" s="18" t="s">
        <v>2043</v>
      </c>
      <c r="K22" s="18" t="s">
        <v>1875</v>
      </c>
    </row>
    <row r="23" customFormat="false" ht="57" hidden="false" customHeight="true" outlineLevel="0" collapsed="false">
      <c r="A23" s="18" t="s">
        <v>2044</v>
      </c>
      <c r="B23" s="28" t="s">
        <v>2045</v>
      </c>
      <c r="C23" s="18" t="s">
        <v>2046</v>
      </c>
      <c r="D23" s="18" t="s">
        <v>2047</v>
      </c>
      <c r="E23" s="18" t="s">
        <v>2048</v>
      </c>
      <c r="F23" s="18" t="s">
        <v>2049</v>
      </c>
      <c r="G23" s="18" t="s">
        <v>2050</v>
      </c>
      <c r="H23" s="20" t="s">
        <v>2051</v>
      </c>
      <c r="I23" s="23" t="s">
        <v>2052</v>
      </c>
      <c r="J23" s="18" t="s">
        <v>2053</v>
      </c>
      <c r="K23" s="18" t="s">
        <v>1875</v>
      </c>
    </row>
    <row r="24" customFormat="false" ht="45.75" hidden="false" customHeight="true" outlineLevel="0" collapsed="false">
      <c r="A24" s="18" t="s">
        <v>2054</v>
      </c>
      <c r="B24" s="28" t="s">
        <v>2055</v>
      </c>
      <c r="C24" s="18" t="s">
        <v>2056</v>
      </c>
      <c r="D24" s="18" t="s">
        <v>2057</v>
      </c>
      <c r="E24" s="18" t="s">
        <v>2058</v>
      </c>
      <c r="F24" s="18" t="s">
        <v>2059</v>
      </c>
      <c r="G24" s="18" t="s">
        <v>2060</v>
      </c>
      <c r="H24" s="20" t="s">
        <v>2061</v>
      </c>
      <c r="I24" s="23" t="s">
        <v>2062</v>
      </c>
      <c r="J24" s="18" t="s">
        <v>2063</v>
      </c>
      <c r="K24" s="18" t="s">
        <v>1875</v>
      </c>
    </row>
    <row r="25" customFormat="false" ht="68.25" hidden="false" customHeight="true" outlineLevel="0" collapsed="false">
      <c r="A25" s="18" t="s">
        <v>2064</v>
      </c>
      <c r="B25" s="28" t="s">
        <v>2065</v>
      </c>
      <c r="C25" s="18" t="s">
        <v>2066</v>
      </c>
      <c r="D25" s="18" t="s">
        <v>2067</v>
      </c>
      <c r="E25" s="18" t="s">
        <v>2068</v>
      </c>
      <c r="F25" s="18" t="s">
        <v>2069</v>
      </c>
      <c r="G25" s="18" t="s">
        <v>2070</v>
      </c>
      <c r="H25" s="20" t="s">
        <v>2071</v>
      </c>
      <c r="I25" s="23" t="s">
        <v>2072</v>
      </c>
      <c r="J25" s="18" t="s">
        <v>2073</v>
      </c>
      <c r="K25" s="18" t="s">
        <v>2074</v>
      </c>
    </row>
    <row r="26" customFormat="false" ht="57" hidden="false" customHeight="true" outlineLevel="0" collapsed="false">
      <c r="A26" s="18" t="s">
        <v>2075</v>
      </c>
      <c r="B26" s="28" t="s">
        <v>2076</v>
      </c>
      <c r="C26" s="18" t="s">
        <v>2077</v>
      </c>
      <c r="D26" s="18" t="s">
        <v>2078</v>
      </c>
      <c r="E26" s="18" t="s">
        <v>2079</v>
      </c>
      <c r="F26" s="18" t="s">
        <v>2080</v>
      </c>
      <c r="G26" s="18" t="s">
        <v>2081</v>
      </c>
      <c r="H26" s="20" t="s">
        <v>2082</v>
      </c>
      <c r="I26" s="23" t="s">
        <v>2083</v>
      </c>
      <c r="J26" s="18" t="s">
        <v>2084</v>
      </c>
      <c r="K26" s="18" t="s">
        <v>1875</v>
      </c>
    </row>
    <row r="27" customFormat="false" ht="57" hidden="false" customHeight="true" outlineLevel="0" collapsed="false">
      <c r="A27" s="18" t="s">
        <v>2085</v>
      </c>
      <c r="B27" s="28" t="s">
        <v>2086</v>
      </c>
      <c r="C27" s="18" t="s">
        <v>2087</v>
      </c>
      <c r="D27" s="18" t="s">
        <v>2088</v>
      </c>
      <c r="E27" s="18" t="s">
        <v>2089</v>
      </c>
      <c r="F27" s="18" t="s">
        <v>2090</v>
      </c>
      <c r="G27" s="18" t="s">
        <v>2091</v>
      </c>
      <c r="H27" s="20" t="s">
        <v>2092</v>
      </c>
      <c r="I27" s="23" t="s">
        <v>2093</v>
      </c>
      <c r="J27" s="18" t="s">
        <v>2094</v>
      </c>
      <c r="K27" s="18" t="s">
        <v>1875</v>
      </c>
    </row>
    <row r="28" customFormat="false" ht="34.5" hidden="false" customHeight="true" outlineLevel="0" collapsed="false">
      <c r="A28" s="18" t="s">
        <v>2095</v>
      </c>
      <c r="B28" s="28" t="s">
        <v>2096</v>
      </c>
      <c r="C28" s="18" t="s">
        <v>2097</v>
      </c>
      <c r="D28" s="18" t="s">
        <v>2098</v>
      </c>
      <c r="E28" s="18" t="s">
        <v>2099</v>
      </c>
      <c r="F28" s="18" t="s">
        <v>2100</v>
      </c>
      <c r="G28" s="18" t="s">
        <v>2101</v>
      </c>
      <c r="H28" s="20" t="s">
        <v>2102</v>
      </c>
      <c r="I28" s="23" t="s">
        <v>1992</v>
      </c>
      <c r="J28" s="18" t="s">
        <v>2103</v>
      </c>
      <c r="K28" s="18" t="s">
        <v>1875</v>
      </c>
    </row>
    <row r="29" customFormat="false" ht="45.75" hidden="false" customHeight="true" outlineLevel="0" collapsed="false">
      <c r="A29" s="18" t="s">
        <v>2104</v>
      </c>
      <c r="B29" s="28" t="s">
        <v>2105</v>
      </c>
      <c r="C29" s="18" t="s">
        <v>2106</v>
      </c>
      <c r="D29" s="18" t="s">
        <v>2107</v>
      </c>
      <c r="E29" s="18" t="s">
        <v>2108</v>
      </c>
      <c r="F29" s="18" t="s">
        <v>2109</v>
      </c>
      <c r="G29" s="18" t="s">
        <v>2110</v>
      </c>
      <c r="H29" s="20" t="s">
        <v>2111</v>
      </c>
      <c r="I29" s="23" t="s">
        <v>2112</v>
      </c>
      <c r="J29" s="18" t="s">
        <v>2113</v>
      </c>
      <c r="K29" s="18" t="s">
        <v>1875</v>
      </c>
    </row>
    <row r="30" customFormat="false" ht="34.5" hidden="false" customHeight="true" outlineLevel="0" collapsed="false">
      <c r="A30" s="18" t="s">
        <v>2114</v>
      </c>
      <c r="B30" s="28" t="s">
        <v>2115</v>
      </c>
      <c r="C30" s="18" t="s">
        <v>2116</v>
      </c>
      <c r="D30" s="18" t="s">
        <v>2117</v>
      </c>
      <c r="E30" s="18" t="s">
        <v>2118</v>
      </c>
      <c r="F30" s="18" t="s">
        <v>2119</v>
      </c>
      <c r="G30" s="18" t="s">
        <v>2120</v>
      </c>
      <c r="H30" s="20" t="s">
        <v>2121</v>
      </c>
      <c r="I30" s="23" t="s">
        <v>2122</v>
      </c>
      <c r="J30" s="18" t="s">
        <v>2003</v>
      </c>
      <c r="K30" s="18" t="s">
        <v>1875</v>
      </c>
    </row>
    <row r="31" customFormat="false" ht="68.25" hidden="false" customHeight="true" outlineLevel="0" collapsed="false">
      <c r="A31" s="18" t="s">
        <v>2123</v>
      </c>
      <c r="B31" s="28" t="s">
        <v>2124</v>
      </c>
      <c r="C31" s="18" t="s">
        <v>2125</v>
      </c>
      <c r="D31" s="18" t="s">
        <v>2126</v>
      </c>
      <c r="E31" s="18" t="s">
        <v>2127</v>
      </c>
      <c r="F31" s="18" t="s">
        <v>2128</v>
      </c>
      <c r="G31" s="18" t="s">
        <v>2129</v>
      </c>
      <c r="H31" s="20" t="s">
        <v>2130</v>
      </c>
      <c r="I31" s="23" t="s">
        <v>2131</v>
      </c>
      <c r="J31" s="18" t="s">
        <v>2132</v>
      </c>
      <c r="K31" s="18" t="s">
        <v>1875</v>
      </c>
    </row>
    <row r="32" customFormat="false" ht="79.5" hidden="false" customHeight="true" outlineLevel="0" collapsed="false">
      <c r="A32" s="18" t="s">
        <v>2133</v>
      </c>
      <c r="B32" s="28" t="s">
        <v>2134</v>
      </c>
      <c r="C32" s="18" t="s">
        <v>2135</v>
      </c>
      <c r="D32" s="18" t="s">
        <v>2136</v>
      </c>
      <c r="E32" s="18" t="s">
        <v>2137</v>
      </c>
      <c r="F32" s="18" t="s">
        <v>2138</v>
      </c>
      <c r="G32" s="18" t="s">
        <v>2139</v>
      </c>
      <c r="H32" s="20" t="s">
        <v>2140</v>
      </c>
      <c r="I32" s="23" t="s">
        <v>2141</v>
      </c>
      <c r="J32" s="18" t="s">
        <v>2142</v>
      </c>
      <c r="K32" s="18" t="s">
        <v>1875</v>
      </c>
    </row>
    <row r="33" customFormat="false" ht="57" hidden="false" customHeight="true" outlineLevel="0" collapsed="false">
      <c r="A33" s="18" t="s">
        <v>2143</v>
      </c>
      <c r="B33" s="28" t="s">
        <v>2144</v>
      </c>
      <c r="C33" s="18" t="s">
        <v>2145</v>
      </c>
      <c r="D33" s="18" t="s">
        <v>2146</v>
      </c>
      <c r="E33" s="18" t="s">
        <v>2147</v>
      </c>
      <c r="F33" s="18" t="s">
        <v>2148</v>
      </c>
      <c r="G33" s="18" t="s">
        <v>2149</v>
      </c>
      <c r="H33" s="20" t="s">
        <v>2150</v>
      </c>
      <c r="I33" s="23" t="s">
        <v>2151</v>
      </c>
      <c r="J33" s="18" t="s">
        <v>2152</v>
      </c>
      <c r="K33" s="18" t="s">
        <v>1875</v>
      </c>
    </row>
    <row r="34" customFormat="false" ht="57" hidden="false" customHeight="true" outlineLevel="0" collapsed="false">
      <c r="A34" s="18" t="s">
        <v>2153</v>
      </c>
      <c r="B34" s="28" t="s">
        <v>2154</v>
      </c>
      <c r="C34" s="18" t="s">
        <v>2155</v>
      </c>
      <c r="D34" s="18" t="s">
        <v>2156</v>
      </c>
      <c r="E34" s="18" t="s">
        <v>2157</v>
      </c>
      <c r="F34" s="18" t="s">
        <v>2158</v>
      </c>
      <c r="G34" s="18" t="s">
        <v>2159</v>
      </c>
      <c r="H34" s="20" t="s">
        <v>2160</v>
      </c>
      <c r="I34" s="23" t="s">
        <v>2161</v>
      </c>
      <c r="J34" s="18" t="s">
        <v>2162</v>
      </c>
      <c r="K34" s="18" t="s">
        <v>1875</v>
      </c>
    </row>
    <row r="35" customFormat="false" ht="68.25" hidden="false" customHeight="true" outlineLevel="0" collapsed="false">
      <c r="A35" s="18" t="s">
        <v>2163</v>
      </c>
      <c r="B35" s="28" t="s">
        <v>2164</v>
      </c>
      <c r="C35" s="18" t="s">
        <v>2165</v>
      </c>
      <c r="D35" s="18" t="s">
        <v>2166</v>
      </c>
      <c r="E35" s="18" t="s">
        <v>2167</v>
      </c>
      <c r="F35" s="18" t="s">
        <v>2168</v>
      </c>
      <c r="G35" s="18" t="s">
        <v>2169</v>
      </c>
      <c r="H35" s="20" t="s">
        <v>2170</v>
      </c>
      <c r="I35" s="23" t="s">
        <v>2171</v>
      </c>
      <c r="J35" s="18" t="s">
        <v>2172</v>
      </c>
      <c r="K35" s="18" t="s">
        <v>1875</v>
      </c>
    </row>
    <row r="36" customFormat="false" ht="34.5" hidden="false" customHeight="true" outlineLevel="0" collapsed="false">
      <c r="A36" s="18" t="s">
        <v>2173</v>
      </c>
      <c r="B36" s="28" t="s">
        <v>2174</v>
      </c>
      <c r="C36" s="18" t="s">
        <v>2175</v>
      </c>
      <c r="D36" s="18" t="s">
        <v>2176</v>
      </c>
      <c r="E36" s="18" t="s">
        <v>2177</v>
      </c>
      <c r="F36" s="18" t="s">
        <v>2178</v>
      </c>
      <c r="G36" s="18" t="s">
        <v>2179</v>
      </c>
      <c r="H36" s="20" t="s">
        <v>2180</v>
      </c>
      <c r="I36" s="23" t="s">
        <v>2181</v>
      </c>
      <c r="J36" s="18" t="s">
        <v>2182</v>
      </c>
      <c r="K36" s="18" t="s">
        <v>1875</v>
      </c>
    </row>
    <row r="37" customFormat="false" ht="79.5" hidden="false" customHeight="true" outlineLevel="0" collapsed="false">
      <c r="A37" s="18" t="s">
        <v>2183</v>
      </c>
      <c r="B37" s="28" t="s">
        <v>2184</v>
      </c>
      <c r="C37" s="18" t="s">
        <v>2185</v>
      </c>
      <c r="D37" s="18" t="s">
        <v>2186</v>
      </c>
      <c r="E37" s="18" t="s">
        <v>2187</v>
      </c>
      <c r="F37" s="18" t="s">
        <v>2188</v>
      </c>
      <c r="G37" s="18" t="s">
        <v>2189</v>
      </c>
      <c r="H37" s="20" t="s">
        <v>2190</v>
      </c>
      <c r="I37" s="23" t="s">
        <v>2191</v>
      </c>
      <c r="J37" s="18" t="s">
        <v>2192</v>
      </c>
      <c r="K37" s="18" t="s">
        <v>1875</v>
      </c>
    </row>
    <row r="38" customFormat="false" ht="34.5" hidden="false" customHeight="true" outlineLevel="0" collapsed="false">
      <c r="A38" s="18" t="s">
        <v>2193</v>
      </c>
      <c r="B38" s="28" t="s">
        <v>2194</v>
      </c>
      <c r="C38" s="18" t="s">
        <v>2195</v>
      </c>
      <c r="D38" s="18" t="s">
        <v>2196</v>
      </c>
      <c r="E38" s="18" t="s">
        <v>2197</v>
      </c>
      <c r="F38" s="18" t="s">
        <v>2198</v>
      </c>
      <c r="G38" s="18" t="s">
        <v>2199</v>
      </c>
      <c r="H38" s="20" t="s">
        <v>2200</v>
      </c>
      <c r="I38" s="23" t="s">
        <v>2201</v>
      </c>
      <c r="J38" s="18" t="s">
        <v>2202</v>
      </c>
      <c r="K38" s="18" t="s">
        <v>1875</v>
      </c>
    </row>
    <row r="39" customFormat="false" ht="34.5" hidden="false" customHeight="true" outlineLevel="0" collapsed="false">
      <c r="A39" s="18" t="s">
        <v>2203</v>
      </c>
      <c r="B39" s="28" t="s">
        <v>2204</v>
      </c>
      <c r="C39" s="18" t="s">
        <v>2205</v>
      </c>
      <c r="D39" s="18" t="s">
        <v>2206</v>
      </c>
      <c r="E39" s="18" t="s">
        <v>2207</v>
      </c>
      <c r="F39" s="18" t="s">
        <v>2208</v>
      </c>
      <c r="G39" s="18" t="s">
        <v>2209</v>
      </c>
      <c r="H39" s="20" t="s">
        <v>2210</v>
      </c>
      <c r="I39" s="23" t="s">
        <v>2211</v>
      </c>
      <c r="J39" s="18" t="s">
        <v>2212</v>
      </c>
      <c r="K39" s="18" t="s">
        <v>1875</v>
      </c>
    </row>
    <row r="41" customFormat="false" ht="15" hidden="false" customHeight="true" outlineLevel="0" collapsed="false">
      <c r="A41" s="26" t="s">
        <v>2213</v>
      </c>
      <c r="B41" s="26"/>
      <c r="C41" s="26"/>
      <c r="D41" s="26"/>
      <c r="E41" s="26"/>
      <c r="F41" s="26"/>
      <c r="G41" s="26"/>
      <c r="H41" s="26"/>
    </row>
  </sheetData>
  <autoFilter ref="A1:K39"/>
  <mergeCells count="1">
    <mergeCell ref="A41:H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4" min="3" style="0" width="18"/>
    <col collapsed="false" customWidth="true" hidden="false" outlineLevel="0" max="5" min="5" style="0" width="12"/>
    <col collapsed="false" customWidth="true" hidden="false" outlineLevel="0" max="6" min="6" style="0" width="9"/>
    <col collapsed="false" customWidth="true" hidden="false" outlineLevel="0" max="7" min="7" style="0" width="24"/>
    <col collapsed="false" customWidth="true" hidden="false" outlineLevel="0" max="8" min="8" style="0" width="44"/>
    <col collapsed="false" customWidth="true" hidden="false" outlineLevel="0" max="10" min="9" style="0" width="14"/>
    <col collapsed="false" customWidth="true" hidden="false" outlineLevel="0" max="11" min="11" style="0" width="30"/>
    <col collapsed="false" customWidth="true" hidden="false" outlineLevel="0" max="12" min="12" style="0" width="22"/>
    <col collapsed="false" customWidth="true" hidden="false" outlineLevel="0" max="13" min="13" style="0" width="16"/>
    <col collapsed="false" customWidth="true" hidden="false" outlineLevel="0" max="14" min="14" style="0" width="22"/>
    <col collapsed="false" customWidth="true" hidden="false" outlineLevel="0" max="15" min="15" style="0" width="16"/>
    <col collapsed="false" customWidth="true" hidden="false" outlineLevel="0" max="16" min="16" style="0" width="22"/>
    <col collapsed="false" customWidth="true" hidden="false" outlineLevel="0" max="17" min="17" style="0" width="16"/>
    <col collapsed="false" customWidth="true" hidden="false" outlineLevel="0" max="18" min="18" style="0" width="22"/>
    <col collapsed="false" customWidth="true" hidden="false" outlineLevel="0" max="19" min="19" style="0" width="16"/>
  </cols>
  <sheetData>
    <row r="1" customFormat="false" ht="39.55" hidden="false" customHeight="false" outlineLevel="0" collapsed="false">
      <c r="A1" s="17" t="s">
        <v>1822</v>
      </c>
      <c r="B1" s="17" t="s">
        <v>2214</v>
      </c>
      <c r="C1" s="17" t="s">
        <v>2215</v>
      </c>
      <c r="D1" s="17" t="s">
        <v>2216</v>
      </c>
      <c r="E1" s="17" t="s">
        <v>2217</v>
      </c>
      <c r="F1" s="17" t="s">
        <v>2218</v>
      </c>
      <c r="G1" s="17" t="s">
        <v>2219</v>
      </c>
      <c r="H1" s="17" t="s">
        <v>2220</v>
      </c>
      <c r="I1" s="17" t="s">
        <v>2221</v>
      </c>
      <c r="J1" s="17" t="s">
        <v>2222</v>
      </c>
      <c r="K1" s="17" t="s">
        <v>2223</v>
      </c>
      <c r="L1" s="17" t="s">
        <v>2224</v>
      </c>
      <c r="M1" s="17" t="s">
        <v>2225</v>
      </c>
      <c r="N1" s="17" t="s">
        <v>2226</v>
      </c>
      <c r="O1" s="17" t="s">
        <v>2225</v>
      </c>
      <c r="P1" s="17" t="s">
        <v>2227</v>
      </c>
      <c r="Q1" s="17" t="s">
        <v>2225</v>
      </c>
      <c r="R1" s="17" t="s">
        <v>2228</v>
      </c>
      <c r="S1" s="17" t="s">
        <v>2225</v>
      </c>
    </row>
    <row r="2" customFormat="false" ht="35.05" hidden="false" customHeight="false" outlineLevel="0" collapsed="false">
      <c r="A2" s="29" t="s">
        <v>1832</v>
      </c>
      <c r="B2" s="29" t="s">
        <v>1833</v>
      </c>
      <c r="C2" s="29" t="s">
        <v>2229</v>
      </c>
      <c r="D2" s="29" t="s">
        <v>2230</v>
      </c>
      <c r="E2" s="29" t="s">
        <v>2231</v>
      </c>
      <c r="F2" s="29" t="s">
        <v>2232</v>
      </c>
      <c r="G2" s="29" t="s">
        <v>2233</v>
      </c>
      <c r="H2" s="29" t="s">
        <v>2234</v>
      </c>
      <c r="I2" s="29" t="s">
        <v>2235</v>
      </c>
      <c r="J2" s="29" t="s">
        <v>2236</v>
      </c>
      <c r="K2" s="29"/>
      <c r="L2" s="29" t="s">
        <v>2237</v>
      </c>
      <c r="M2" s="30" t="s">
        <v>1064</v>
      </c>
      <c r="N2" s="29" t="s">
        <v>2238</v>
      </c>
      <c r="O2" s="29" t="s">
        <v>2239</v>
      </c>
      <c r="P2" s="29"/>
      <c r="Q2" s="29"/>
      <c r="R2" s="29"/>
      <c r="S2" s="29"/>
    </row>
    <row r="3" customFormat="false" ht="15" hidden="false" customHeight="false" outlineLevel="0" collapsed="false">
      <c r="A3" s="18" t="s">
        <v>1832</v>
      </c>
      <c r="B3" s="18"/>
      <c r="C3" s="18"/>
      <c r="D3" s="18"/>
      <c r="E3" s="18" t="s">
        <v>2239</v>
      </c>
      <c r="F3" s="18" t="s">
        <v>2232</v>
      </c>
      <c r="G3" s="18" t="s">
        <v>2240</v>
      </c>
      <c r="H3" s="18" t="s">
        <v>2241</v>
      </c>
      <c r="I3" s="18" t="s">
        <v>2242</v>
      </c>
      <c r="J3" s="18" t="s">
        <v>2243</v>
      </c>
      <c r="K3" s="18"/>
      <c r="L3" s="18" t="s">
        <v>2244</v>
      </c>
      <c r="M3" s="18" t="s">
        <v>2245</v>
      </c>
      <c r="N3" s="18" t="s">
        <v>2246</v>
      </c>
      <c r="O3" s="18" t="s">
        <v>2247</v>
      </c>
      <c r="P3" s="18"/>
      <c r="Q3" s="18"/>
      <c r="R3" s="18"/>
      <c r="S3" s="18"/>
    </row>
    <row r="4" customFormat="false" ht="23.85" hidden="false" customHeight="false" outlineLevel="0" collapsed="false">
      <c r="A4" s="18" t="s">
        <v>1832</v>
      </c>
      <c r="B4" s="18"/>
      <c r="C4" s="18"/>
      <c r="D4" s="18"/>
      <c r="E4" s="18" t="s">
        <v>2245</v>
      </c>
      <c r="F4" s="18" t="s">
        <v>2232</v>
      </c>
      <c r="G4" s="18" t="s">
        <v>2248</v>
      </c>
      <c r="H4" s="18" t="s">
        <v>2249</v>
      </c>
      <c r="I4" s="18" t="s">
        <v>2250</v>
      </c>
      <c r="J4" s="18" t="s">
        <v>2251</v>
      </c>
      <c r="K4" s="18"/>
      <c r="L4" s="18" t="s">
        <v>2252</v>
      </c>
      <c r="M4" s="20" t="s">
        <v>1064</v>
      </c>
      <c r="N4" s="18"/>
      <c r="O4" s="18"/>
      <c r="P4" s="18"/>
      <c r="Q4" s="18"/>
      <c r="R4" s="18"/>
      <c r="S4" s="18"/>
    </row>
    <row r="5" customFormat="false" ht="35.05" hidden="false" customHeight="false" outlineLevel="0" collapsed="false">
      <c r="A5" s="18" t="s">
        <v>1832</v>
      </c>
      <c r="B5" s="18"/>
      <c r="C5" s="18"/>
      <c r="D5" s="18"/>
      <c r="E5" s="18" t="s">
        <v>2247</v>
      </c>
      <c r="F5" s="18" t="s">
        <v>2232</v>
      </c>
      <c r="G5" s="18" t="s">
        <v>2253</v>
      </c>
      <c r="H5" s="18" t="s">
        <v>2254</v>
      </c>
      <c r="I5" s="18" t="s">
        <v>2235</v>
      </c>
      <c r="J5" s="18" t="s">
        <v>2255</v>
      </c>
      <c r="K5" s="18"/>
      <c r="L5" s="18" t="s">
        <v>2256</v>
      </c>
      <c r="M5" s="20" t="s">
        <v>1064</v>
      </c>
      <c r="N5" s="18" t="s">
        <v>2257</v>
      </c>
      <c r="O5" s="18" t="s">
        <v>2258</v>
      </c>
      <c r="P5" s="18"/>
      <c r="Q5" s="18"/>
      <c r="R5" s="18"/>
      <c r="S5" s="18"/>
    </row>
    <row r="6" customFormat="false" ht="35.05" hidden="false" customHeight="false" outlineLevel="0" collapsed="false">
      <c r="A6" s="18" t="s">
        <v>1832</v>
      </c>
      <c r="B6" s="18"/>
      <c r="C6" s="18"/>
      <c r="D6" s="18"/>
      <c r="E6" s="18" t="s">
        <v>2258</v>
      </c>
      <c r="F6" s="18" t="s">
        <v>2232</v>
      </c>
      <c r="G6" s="18" t="s">
        <v>2259</v>
      </c>
      <c r="H6" s="18" t="s">
        <v>2260</v>
      </c>
      <c r="I6" s="18" t="s">
        <v>2261</v>
      </c>
      <c r="J6" s="18" t="s">
        <v>2262</v>
      </c>
      <c r="K6" s="18"/>
      <c r="L6" s="18" t="s">
        <v>2263</v>
      </c>
      <c r="M6" s="20" t="s">
        <v>1064</v>
      </c>
      <c r="N6" s="18" t="s">
        <v>2264</v>
      </c>
      <c r="O6" s="18" t="s">
        <v>2265</v>
      </c>
      <c r="P6" s="18"/>
      <c r="Q6" s="18"/>
      <c r="R6" s="18"/>
      <c r="S6" s="18"/>
    </row>
    <row r="7" customFormat="false" ht="57.45" hidden="false" customHeight="false" outlineLevel="0" collapsed="false">
      <c r="A7" s="18" t="s">
        <v>1832</v>
      </c>
      <c r="B7" s="18"/>
      <c r="C7" s="18"/>
      <c r="D7" s="18"/>
      <c r="E7" s="18" t="s">
        <v>2265</v>
      </c>
      <c r="F7" s="18" t="s">
        <v>2266</v>
      </c>
      <c r="G7" s="18" t="s">
        <v>2267</v>
      </c>
      <c r="H7" s="18" t="s">
        <v>2268</v>
      </c>
      <c r="I7" s="18" t="s">
        <v>2269</v>
      </c>
      <c r="J7" s="18" t="s">
        <v>2236</v>
      </c>
      <c r="K7" s="18" t="s">
        <v>2270</v>
      </c>
      <c r="L7" s="18" t="s">
        <v>2271</v>
      </c>
      <c r="M7" s="23" t="s">
        <v>2272</v>
      </c>
      <c r="N7" s="18"/>
      <c r="O7" s="18"/>
      <c r="P7" s="18"/>
      <c r="Q7" s="18"/>
      <c r="R7" s="18"/>
      <c r="S7" s="18"/>
    </row>
    <row r="8" customFormat="false" ht="46.25" hidden="false" customHeight="false" outlineLevel="0" collapsed="false">
      <c r="A8" s="29" t="s">
        <v>1843</v>
      </c>
      <c r="B8" s="29" t="s">
        <v>1844</v>
      </c>
      <c r="C8" s="29" t="s">
        <v>2273</v>
      </c>
      <c r="D8" s="29" t="s">
        <v>2274</v>
      </c>
      <c r="E8" s="29" t="s">
        <v>2275</v>
      </c>
      <c r="F8" s="29" t="s">
        <v>2276</v>
      </c>
      <c r="G8" s="29" t="s">
        <v>2277</v>
      </c>
      <c r="H8" s="29" t="s">
        <v>2278</v>
      </c>
      <c r="I8" s="29" t="s">
        <v>2235</v>
      </c>
      <c r="J8" s="29" t="s">
        <v>2236</v>
      </c>
      <c r="K8" s="29"/>
      <c r="L8" s="29" t="s">
        <v>2279</v>
      </c>
      <c r="M8" s="29" t="s">
        <v>2231</v>
      </c>
      <c r="N8" s="29"/>
      <c r="O8" s="29"/>
      <c r="P8" s="29"/>
      <c r="Q8" s="29"/>
      <c r="R8" s="29"/>
      <c r="S8" s="29"/>
    </row>
    <row r="9" customFormat="false" ht="46.25" hidden="false" customHeight="false" outlineLevel="0" collapsed="false">
      <c r="A9" s="18" t="s">
        <v>1843</v>
      </c>
      <c r="B9" s="18"/>
      <c r="C9" s="18"/>
      <c r="D9" s="18"/>
      <c r="E9" s="18" t="s">
        <v>2231</v>
      </c>
      <c r="F9" s="18" t="s">
        <v>2232</v>
      </c>
      <c r="G9" s="18" t="s">
        <v>2233</v>
      </c>
      <c r="H9" s="18" t="s">
        <v>2280</v>
      </c>
      <c r="I9" s="18" t="s">
        <v>2235</v>
      </c>
      <c r="J9" s="18" t="s">
        <v>2236</v>
      </c>
      <c r="K9" s="18"/>
      <c r="L9" s="18" t="s">
        <v>2237</v>
      </c>
      <c r="M9" s="20" t="s">
        <v>1064</v>
      </c>
      <c r="N9" s="18" t="s">
        <v>2238</v>
      </c>
      <c r="O9" s="18" t="s">
        <v>2281</v>
      </c>
      <c r="P9" s="18"/>
      <c r="Q9" s="18"/>
      <c r="R9" s="18"/>
      <c r="S9" s="18"/>
    </row>
    <row r="10" customFormat="false" ht="35.05" hidden="false" customHeight="false" outlineLevel="0" collapsed="false">
      <c r="A10" s="18" t="s">
        <v>1843</v>
      </c>
      <c r="B10" s="18"/>
      <c r="C10" s="18"/>
      <c r="D10" s="18"/>
      <c r="E10" s="18" t="s">
        <v>2281</v>
      </c>
      <c r="F10" s="18" t="s">
        <v>2232</v>
      </c>
      <c r="G10" s="18" t="s">
        <v>2282</v>
      </c>
      <c r="H10" s="18" t="s">
        <v>2283</v>
      </c>
      <c r="I10" s="18" t="s">
        <v>2235</v>
      </c>
      <c r="J10" s="18" t="s">
        <v>2236</v>
      </c>
      <c r="K10" s="18"/>
      <c r="L10" s="18" t="s">
        <v>2237</v>
      </c>
      <c r="M10" s="20" t="s">
        <v>1064</v>
      </c>
      <c r="N10" s="18" t="s">
        <v>2284</v>
      </c>
      <c r="O10" s="18" t="s">
        <v>2285</v>
      </c>
      <c r="P10" s="18"/>
      <c r="Q10" s="18"/>
      <c r="R10" s="18"/>
      <c r="S10" s="18"/>
    </row>
    <row r="11" customFormat="false" ht="35.05" hidden="false" customHeight="false" outlineLevel="0" collapsed="false">
      <c r="A11" s="18" t="s">
        <v>1843</v>
      </c>
      <c r="B11" s="18"/>
      <c r="C11" s="18"/>
      <c r="D11" s="18"/>
      <c r="E11" s="18" t="s">
        <v>2285</v>
      </c>
      <c r="F11" s="18" t="s">
        <v>2232</v>
      </c>
      <c r="G11" s="18" t="s">
        <v>2286</v>
      </c>
      <c r="H11" s="18" t="s">
        <v>2287</v>
      </c>
      <c r="I11" s="18" t="s">
        <v>2288</v>
      </c>
      <c r="J11" s="18" t="s">
        <v>2262</v>
      </c>
      <c r="K11" s="18"/>
      <c r="L11" s="18" t="s">
        <v>2289</v>
      </c>
      <c r="M11" s="20" t="s">
        <v>1064</v>
      </c>
      <c r="N11" s="18" t="s">
        <v>2290</v>
      </c>
      <c r="O11" s="18" t="s">
        <v>2291</v>
      </c>
      <c r="P11" s="18" t="s">
        <v>2292</v>
      </c>
      <c r="Q11" s="18" t="s">
        <v>2265</v>
      </c>
      <c r="R11" s="18"/>
      <c r="S11" s="18"/>
    </row>
    <row r="12" customFormat="false" ht="23.85" hidden="false" customHeight="false" outlineLevel="0" collapsed="false">
      <c r="A12" s="18" t="s">
        <v>1843</v>
      </c>
      <c r="B12" s="18"/>
      <c r="C12" s="18"/>
      <c r="D12" s="18"/>
      <c r="E12" s="18" t="s">
        <v>2291</v>
      </c>
      <c r="F12" s="18" t="s">
        <v>2232</v>
      </c>
      <c r="G12" s="18" t="s">
        <v>2293</v>
      </c>
      <c r="H12" s="18" t="s">
        <v>2294</v>
      </c>
      <c r="I12" s="18" t="s">
        <v>2288</v>
      </c>
      <c r="J12" s="18" t="s">
        <v>2295</v>
      </c>
      <c r="K12" s="18"/>
      <c r="L12" s="18" t="s">
        <v>2289</v>
      </c>
      <c r="M12" s="20" t="s">
        <v>1064</v>
      </c>
      <c r="N12" s="18" t="s">
        <v>2296</v>
      </c>
      <c r="O12" s="18" t="s">
        <v>2265</v>
      </c>
      <c r="P12" s="18"/>
      <c r="Q12" s="18"/>
      <c r="R12" s="18"/>
      <c r="S12" s="18"/>
    </row>
    <row r="13" customFormat="false" ht="57.45" hidden="false" customHeight="false" outlineLevel="0" collapsed="false">
      <c r="A13" s="18" t="s">
        <v>1843</v>
      </c>
      <c r="B13" s="18"/>
      <c r="C13" s="18"/>
      <c r="D13" s="18"/>
      <c r="E13" s="18" t="s">
        <v>2265</v>
      </c>
      <c r="F13" s="18" t="s">
        <v>2266</v>
      </c>
      <c r="G13" s="18" t="s">
        <v>2267</v>
      </c>
      <c r="H13" s="18" t="s">
        <v>2297</v>
      </c>
      <c r="I13" s="18" t="s">
        <v>2269</v>
      </c>
      <c r="J13" s="18" t="s">
        <v>2236</v>
      </c>
      <c r="K13" s="18" t="s">
        <v>2270</v>
      </c>
      <c r="L13" s="18" t="s">
        <v>2271</v>
      </c>
      <c r="M13" s="23" t="s">
        <v>2272</v>
      </c>
      <c r="N13" s="18" t="s">
        <v>2298</v>
      </c>
      <c r="O13" s="27" t="s">
        <v>2299</v>
      </c>
      <c r="P13" s="18"/>
      <c r="Q13" s="18"/>
      <c r="R13" s="18"/>
      <c r="S13" s="18"/>
    </row>
    <row r="14" customFormat="false" ht="35.05" hidden="false" customHeight="false" outlineLevel="0" collapsed="false">
      <c r="A14" s="29" t="s">
        <v>1854</v>
      </c>
      <c r="B14" s="29" t="s">
        <v>1855</v>
      </c>
      <c r="C14" s="29" t="s">
        <v>2300</v>
      </c>
      <c r="D14" s="29" t="s">
        <v>2301</v>
      </c>
      <c r="E14" s="29" t="s">
        <v>2302</v>
      </c>
      <c r="F14" s="29" t="s">
        <v>2232</v>
      </c>
      <c r="G14" s="29" t="s">
        <v>2303</v>
      </c>
      <c r="H14" s="29" t="s">
        <v>2304</v>
      </c>
      <c r="I14" s="29" t="s">
        <v>2305</v>
      </c>
      <c r="J14" s="29" t="s">
        <v>2236</v>
      </c>
      <c r="K14" s="29"/>
      <c r="L14" s="29" t="s">
        <v>2306</v>
      </c>
      <c r="M14" s="29" t="s">
        <v>2307</v>
      </c>
      <c r="N14" s="29" t="s">
        <v>2308</v>
      </c>
      <c r="O14" s="29" t="s">
        <v>2265</v>
      </c>
      <c r="P14" s="29"/>
      <c r="Q14" s="29"/>
      <c r="R14" s="29"/>
      <c r="S14" s="29"/>
    </row>
    <row r="15" customFormat="false" ht="35.05" hidden="false" customHeight="false" outlineLevel="0" collapsed="false">
      <c r="A15" s="18" t="s">
        <v>1854</v>
      </c>
      <c r="B15" s="18"/>
      <c r="C15" s="18"/>
      <c r="D15" s="18"/>
      <c r="E15" s="18" t="s">
        <v>2307</v>
      </c>
      <c r="F15" s="18" t="s">
        <v>2266</v>
      </c>
      <c r="G15" s="18" t="s">
        <v>2309</v>
      </c>
      <c r="H15" s="18" t="s">
        <v>2310</v>
      </c>
      <c r="I15" s="18" t="s">
        <v>2311</v>
      </c>
      <c r="J15" s="18" t="s">
        <v>2236</v>
      </c>
      <c r="K15" s="18"/>
      <c r="L15" s="18" t="s">
        <v>2312</v>
      </c>
      <c r="M15" s="20" t="s">
        <v>1064</v>
      </c>
      <c r="N15" s="18" t="s">
        <v>2313</v>
      </c>
      <c r="O15" s="23" t="s">
        <v>2272</v>
      </c>
      <c r="P15" s="18"/>
      <c r="Q15" s="18"/>
      <c r="R15" s="18"/>
      <c r="S15" s="18"/>
    </row>
    <row r="16" customFormat="false" ht="57.45" hidden="false" customHeight="false" outlineLevel="0" collapsed="false">
      <c r="A16" s="18" t="s">
        <v>1854</v>
      </c>
      <c r="B16" s="18"/>
      <c r="C16" s="18"/>
      <c r="D16" s="18"/>
      <c r="E16" s="18" t="s">
        <v>2265</v>
      </c>
      <c r="F16" s="18" t="s">
        <v>2266</v>
      </c>
      <c r="G16" s="18" t="s">
        <v>2314</v>
      </c>
      <c r="H16" s="18" t="s">
        <v>2315</v>
      </c>
      <c r="I16" s="18" t="s">
        <v>2311</v>
      </c>
      <c r="J16" s="18" t="s">
        <v>2236</v>
      </c>
      <c r="K16" s="18" t="s">
        <v>2270</v>
      </c>
      <c r="L16" s="18" t="s">
        <v>2271</v>
      </c>
      <c r="M16" s="23" t="s">
        <v>2272</v>
      </c>
      <c r="N16" s="18"/>
      <c r="O16" s="18"/>
      <c r="P16" s="18"/>
      <c r="Q16" s="18"/>
      <c r="R16" s="18"/>
      <c r="S16" s="18"/>
    </row>
    <row r="17" customFormat="false" ht="46.25" hidden="false" customHeight="false" outlineLevel="0" collapsed="false">
      <c r="A17" s="29" t="s">
        <v>1865</v>
      </c>
      <c r="B17" s="29" t="s">
        <v>1866</v>
      </c>
      <c r="C17" s="29" t="s">
        <v>2300</v>
      </c>
      <c r="D17" s="29" t="s">
        <v>2316</v>
      </c>
      <c r="E17" s="29" t="s">
        <v>2317</v>
      </c>
      <c r="F17" s="29" t="s">
        <v>2232</v>
      </c>
      <c r="G17" s="29" t="s">
        <v>2318</v>
      </c>
      <c r="H17" s="29" t="s">
        <v>2319</v>
      </c>
      <c r="I17" s="29" t="s">
        <v>2235</v>
      </c>
      <c r="J17" s="29" t="s">
        <v>2236</v>
      </c>
      <c r="K17" s="29"/>
      <c r="L17" s="29" t="s">
        <v>2320</v>
      </c>
      <c r="M17" s="30" t="s">
        <v>1064</v>
      </c>
      <c r="N17" s="29" t="s">
        <v>2321</v>
      </c>
      <c r="O17" s="29" t="s">
        <v>2322</v>
      </c>
      <c r="P17" s="29"/>
      <c r="Q17" s="29"/>
      <c r="R17" s="29"/>
      <c r="S17" s="29"/>
    </row>
    <row r="18" customFormat="false" ht="23.85" hidden="false" customHeight="false" outlineLevel="0" collapsed="false">
      <c r="A18" s="18" t="s">
        <v>1865</v>
      </c>
      <c r="B18" s="18"/>
      <c r="C18" s="18"/>
      <c r="D18" s="18"/>
      <c r="E18" s="18" t="s">
        <v>2322</v>
      </c>
      <c r="F18" s="18" t="s">
        <v>2323</v>
      </c>
      <c r="G18" s="18" t="s">
        <v>2324</v>
      </c>
      <c r="H18" s="18" t="s">
        <v>2325</v>
      </c>
      <c r="I18" s="18" t="s">
        <v>2242</v>
      </c>
      <c r="J18" s="18" t="s">
        <v>2236</v>
      </c>
      <c r="K18" s="18"/>
      <c r="L18" s="18" t="s">
        <v>2326</v>
      </c>
      <c r="M18" s="20" t="s">
        <v>1064</v>
      </c>
      <c r="N18" s="18" t="s">
        <v>2327</v>
      </c>
      <c r="O18" s="18" t="s">
        <v>2328</v>
      </c>
      <c r="P18" s="18"/>
      <c r="Q18" s="18"/>
      <c r="R18" s="18"/>
      <c r="S18" s="18"/>
    </row>
    <row r="19" customFormat="false" ht="35.05" hidden="false" customHeight="false" outlineLevel="0" collapsed="false">
      <c r="A19" s="18" t="s">
        <v>1865</v>
      </c>
      <c r="B19" s="18"/>
      <c r="C19" s="18"/>
      <c r="D19" s="18"/>
      <c r="E19" s="18" t="s">
        <v>2328</v>
      </c>
      <c r="F19" s="18" t="s">
        <v>2232</v>
      </c>
      <c r="G19" s="18" t="s">
        <v>2329</v>
      </c>
      <c r="H19" s="18" t="s">
        <v>2330</v>
      </c>
      <c r="I19" s="18" t="s">
        <v>2235</v>
      </c>
      <c r="J19" s="18" t="s">
        <v>2236</v>
      </c>
      <c r="K19" s="18"/>
      <c r="L19" s="18" t="s">
        <v>2331</v>
      </c>
      <c r="M19" s="20" t="s">
        <v>1064</v>
      </c>
      <c r="N19" s="18" t="s">
        <v>2332</v>
      </c>
      <c r="O19" s="18" t="s">
        <v>2265</v>
      </c>
      <c r="P19" s="18"/>
      <c r="Q19" s="18"/>
      <c r="R19" s="18"/>
      <c r="S19" s="18"/>
    </row>
    <row r="20" customFormat="false" ht="46.25" hidden="false" customHeight="false" outlineLevel="0" collapsed="false">
      <c r="A20" s="18" t="s">
        <v>1865</v>
      </c>
      <c r="B20" s="18"/>
      <c r="C20" s="18"/>
      <c r="D20" s="18"/>
      <c r="E20" s="18" t="s">
        <v>2265</v>
      </c>
      <c r="F20" s="18" t="s">
        <v>2266</v>
      </c>
      <c r="G20" s="18" t="s">
        <v>2267</v>
      </c>
      <c r="H20" s="18" t="s">
        <v>2333</v>
      </c>
      <c r="I20" s="18" t="s">
        <v>2269</v>
      </c>
      <c r="J20" s="18" t="s">
        <v>2236</v>
      </c>
      <c r="K20" s="18" t="s">
        <v>2334</v>
      </c>
      <c r="L20" s="18" t="s">
        <v>2335</v>
      </c>
      <c r="M20" s="27" t="s">
        <v>2299</v>
      </c>
      <c r="N20" s="18" t="s">
        <v>2336</v>
      </c>
      <c r="O20" s="23" t="s">
        <v>2272</v>
      </c>
      <c r="P20" s="18"/>
      <c r="Q20" s="18"/>
      <c r="R20" s="18"/>
      <c r="S20" s="18"/>
    </row>
    <row r="21" customFormat="false" ht="46.25" hidden="false" customHeight="false" outlineLevel="0" collapsed="false">
      <c r="A21" s="29" t="s">
        <v>1876</v>
      </c>
      <c r="B21" s="29" t="s">
        <v>1877</v>
      </c>
      <c r="C21" s="29" t="s">
        <v>2337</v>
      </c>
      <c r="D21" s="29" t="s">
        <v>2338</v>
      </c>
      <c r="E21" s="29" t="s">
        <v>2339</v>
      </c>
      <c r="F21" s="29" t="s">
        <v>2323</v>
      </c>
      <c r="G21" s="29" t="s">
        <v>2340</v>
      </c>
      <c r="H21" s="29" t="s">
        <v>2341</v>
      </c>
      <c r="I21" s="29" t="s">
        <v>2342</v>
      </c>
      <c r="J21" s="29" t="s">
        <v>2236</v>
      </c>
      <c r="K21" s="29"/>
      <c r="L21" s="29" t="s">
        <v>2343</v>
      </c>
      <c r="M21" s="29" t="s">
        <v>2344</v>
      </c>
      <c r="N21" s="29" t="s">
        <v>2345</v>
      </c>
      <c r="O21" s="29" t="s">
        <v>2346</v>
      </c>
      <c r="P21" s="29"/>
      <c r="Q21" s="29"/>
      <c r="R21" s="29"/>
      <c r="S21" s="29"/>
    </row>
    <row r="22" customFormat="false" ht="23.85" hidden="false" customHeight="false" outlineLevel="0" collapsed="false">
      <c r="A22" s="18" t="s">
        <v>1876</v>
      </c>
      <c r="B22" s="18"/>
      <c r="C22" s="18"/>
      <c r="D22" s="18"/>
      <c r="E22" s="18" t="s">
        <v>2344</v>
      </c>
      <c r="F22" s="18" t="s">
        <v>2266</v>
      </c>
      <c r="G22" s="18" t="s">
        <v>2347</v>
      </c>
      <c r="H22" s="18" t="s">
        <v>2348</v>
      </c>
      <c r="I22" s="18" t="s">
        <v>2235</v>
      </c>
      <c r="J22" s="18" t="s">
        <v>2236</v>
      </c>
      <c r="K22" s="18"/>
      <c r="L22" s="18" t="s">
        <v>2349</v>
      </c>
      <c r="M22" s="20" t="s">
        <v>1064</v>
      </c>
      <c r="N22" s="18"/>
      <c r="O22" s="18"/>
      <c r="P22" s="18"/>
      <c r="Q22" s="18"/>
      <c r="R22" s="18"/>
      <c r="S22" s="18"/>
    </row>
    <row r="23" customFormat="false" ht="23.85" hidden="false" customHeight="false" outlineLevel="0" collapsed="false">
      <c r="A23" s="18" t="s">
        <v>1876</v>
      </c>
      <c r="B23" s="18"/>
      <c r="C23" s="18"/>
      <c r="D23" s="18"/>
      <c r="E23" s="18" t="s">
        <v>2346</v>
      </c>
      <c r="F23" s="18" t="s">
        <v>2266</v>
      </c>
      <c r="G23" s="18" t="s">
        <v>2350</v>
      </c>
      <c r="H23" s="18" t="s">
        <v>2351</v>
      </c>
      <c r="I23" s="18" t="s">
        <v>2269</v>
      </c>
      <c r="J23" s="18" t="s">
        <v>2236</v>
      </c>
      <c r="K23" s="18"/>
      <c r="L23" s="18" t="s">
        <v>2349</v>
      </c>
      <c r="M23" s="27" t="s">
        <v>2299</v>
      </c>
      <c r="N23" s="18"/>
      <c r="O23" s="18"/>
      <c r="P23" s="18"/>
      <c r="Q23" s="18"/>
      <c r="R23" s="18"/>
      <c r="S23" s="18"/>
    </row>
    <row r="24" customFormat="false" ht="57.45" hidden="false" customHeight="false" outlineLevel="0" collapsed="false">
      <c r="A24" s="29" t="s">
        <v>1886</v>
      </c>
      <c r="B24" s="29" t="s">
        <v>1887</v>
      </c>
      <c r="C24" s="29" t="s">
        <v>2352</v>
      </c>
      <c r="D24" s="29" t="s">
        <v>2353</v>
      </c>
      <c r="E24" s="29" t="s">
        <v>2231</v>
      </c>
      <c r="F24" s="29" t="s">
        <v>2232</v>
      </c>
      <c r="G24" s="29" t="s">
        <v>2233</v>
      </c>
      <c r="H24" s="29" t="s">
        <v>2354</v>
      </c>
      <c r="I24" s="29" t="s">
        <v>2235</v>
      </c>
      <c r="J24" s="29" t="s">
        <v>2236</v>
      </c>
      <c r="K24" s="29"/>
      <c r="L24" s="29" t="s">
        <v>2237</v>
      </c>
      <c r="M24" s="30" t="s">
        <v>1064</v>
      </c>
      <c r="N24" s="29" t="s">
        <v>2238</v>
      </c>
      <c r="O24" s="29" t="s">
        <v>2355</v>
      </c>
      <c r="P24" s="29"/>
      <c r="Q24" s="29"/>
      <c r="R24" s="29"/>
      <c r="S24" s="29"/>
    </row>
    <row r="25" customFormat="false" ht="23.85" hidden="false" customHeight="false" outlineLevel="0" collapsed="false">
      <c r="A25" s="18" t="s">
        <v>1886</v>
      </c>
      <c r="B25" s="18"/>
      <c r="C25" s="18"/>
      <c r="D25" s="18"/>
      <c r="E25" s="18" t="s">
        <v>2355</v>
      </c>
      <c r="F25" s="18" t="s">
        <v>2232</v>
      </c>
      <c r="G25" s="18" t="s">
        <v>2356</v>
      </c>
      <c r="H25" s="18" t="s">
        <v>2357</v>
      </c>
      <c r="I25" s="18" t="s">
        <v>2288</v>
      </c>
      <c r="J25" s="18" t="s">
        <v>2262</v>
      </c>
      <c r="K25" s="18"/>
      <c r="L25" s="18" t="s">
        <v>2358</v>
      </c>
      <c r="M25" s="20" t="s">
        <v>1064</v>
      </c>
      <c r="N25" s="18" t="s">
        <v>2359</v>
      </c>
      <c r="O25" s="18" t="s">
        <v>2360</v>
      </c>
      <c r="P25" s="18"/>
      <c r="Q25" s="18"/>
      <c r="R25" s="18"/>
      <c r="S25" s="18"/>
    </row>
    <row r="26" customFormat="false" ht="35.05" hidden="false" customHeight="false" outlineLevel="0" collapsed="false">
      <c r="A26" s="18" t="s">
        <v>1886</v>
      </c>
      <c r="B26" s="18"/>
      <c r="C26" s="18"/>
      <c r="D26" s="18"/>
      <c r="E26" s="18" t="s">
        <v>2360</v>
      </c>
      <c r="F26" s="18" t="s">
        <v>2323</v>
      </c>
      <c r="G26" s="18" t="s">
        <v>2361</v>
      </c>
      <c r="H26" s="18" t="s">
        <v>2362</v>
      </c>
      <c r="I26" s="18" t="s">
        <v>2242</v>
      </c>
      <c r="J26" s="18" t="s">
        <v>2236</v>
      </c>
      <c r="K26" s="18"/>
      <c r="L26" s="18" t="s">
        <v>2363</v>
      </c>
      <c r="M26" s="20" t="s">
        <v>1064</v>
      </c>
      <c r="N26" s="18" t="s">
        <v>2364</v>
      </c>
      <c r="O26" s="18" t="s">
        <v>2265</v>
      </c>
      <c r="P26" s="18"/>
      <c r="Q26" s="18"/>
      <c r="R26" s="18"/>
      <c r="S26" s="18"/>
    </row>
    <row r="27" customFormat="false" ht="35.05" hidden="false" customHeight="false" outlineLevel="0" collapsed="false">
      <c r="A27" s="18" t="s">
        <v>1886</v>
      </c>
      <c r="B27" s="18"/>
      <c r="C27" s="18"/>
      <c r="D27" s="18"/>
      <c r="E27" s="18" t="s">
        <v>2265</v>
      </c>
      <c r="F27" s="18" t="s">
        <v>2266</v>
      </c>
      <c r="G27" s="18" t="s">
        <v>2365</v>
      </c>
      <c r="H27" s="18" t="s">
        <v>2366</v>
      </c>
      <c r="I27" s="18" t="s">
        <v>2311</v>
      </c>
      <c r="J27" s="18" t="s">
        <v>2236</v>
      </c>
      <c r="K27" s="18"/>
      <c r="L27" s="18" t="s">
        <v>2367</v>
      </c>
      <c r="M27" s="23" t="s">
        <v>2368</v>
      </c>
      <c r="N27" s="18" t="s">
        <v>2369</v>
      </c>
      <c r="O27" s="23" t="s">
        <v>2272</v>
      </c>
      <c r="P27" s="18"/>
      <c r="Q27" s="18"/>
      <c r="R27" s="18"/>
      <c r="S27" s="18"/>
    </row>
    <row r="28" customFormat="false" ht="46.25" hidden="false" customHeight="false" outlineLevel="0" collapsed="false">
      <c r="A28" s="29" t="s">
        <v>1896</v>
      </c>
      <c r="B28" s="29" t="s">
        <v>1897</v>
      </c>
      <c r="C28" s="29" t="s">
        <v>2229</v>
      </c>
      <c r="D28" s="29" t="s">
        <v>2370</v>
      </c>
      <c r="E28" s="29" t="s">
        <v>2231</v>
      </c>
      <c r="F28" s="29" t="s">
        <v>2232</v>
      </c>
      <c r="G28" s="29" t="s">
        <v>2233</v>
      </c>
      <c r="H28" s="29" t="s">
        <v>2371</v>
      </c>
      <c r="I28" s="29" t="s">
        <v>2235</v>
      </c>
      <c r="J28" s="29" t="s">
        <v>2236</v>
      </c>
      <c r="K28" s="29"/>
      <c r="L28" s="29" t="s">
        <v>2237</v>
      </c>
      <c r="M28" s="30" t="s">
        <v>1064</v>
      </c>
      <c r="N28" s="29" t="s">
        <v>2238</v>
      </c>
      <c r="O28" s="29" t="s">
        <v>2372</v>
      </c>
      <c r="P28" s="29"/>
      <c r="Q28" s="29"/>
      <c r="R28" s="29"/>
      <c r="S28" s="29"/>
    </row>
    <row r="29" customFormat="false" ht="23.85" hidden="false" customHeight="false" outlineLevel="0" collapsed="false">
      <c r="A29" s="18" t="s">
        <v>1896</v>
      </c>
      <c r="B29" s="18"/>
      <c r="C29" s="18"/>
      <c r="D29" s="18"/>
      <c r="E29" s="18" t="s">
        <v>2372</v>
      </c>
      <c r="F29" s="18" t="s">
        <v>2232</v>
      </c>
      <c r="G29" s="18" t="s">
        <v>2373</v>
      </c>
      <c r="H29" s="18" t="s">
        <v>2374</v>
      </c>
      <c r="I29" s="18" t="s">
        <v>2305</v>
      </c>
      <c r="J29" s="18" t="s">
        <v>2236</v>
      </c>
      <c r="K29" s="18"/>
      <c r="L29" s="18" t="s">
        <v>2375</v>
      </c>
      <c r="M29" s="20" t="s">
        <v>1064</v>
      </c>
      <c r="N29" s="18" t="s">
        <v>2376</v>
      </c>
      <c r="O29" s="18" t="s">
        <v>2377</v>
      </c>
      <c r="P29" s="18"/>
      <c r="Q29" s="18"/>
      <c r="R29" s="18"/>
      <c r="S29" s="18"/>
    </row>
    <row r="30" customFormat="false" ht="23.85" hidden="false" customHeight="false" outlineLevel="0" collapsed="false">
      <c r="A30" s="18" t="s">
        <v>1896</v>
      </c>
      <c r="B30" s="18"/>
      <c r="C30" s="18"/>
      <c r="D30" s="18"/>
      <c r="E30" s="18" t="s">
        <v>2377</v>
      </c>
      <c r="F30" s="18" t="s">
        <v>2232</v>
      </c>
      <c r="G30" s="18" t="s">
        <v>2378</v>
      </c>
      <c r="H30" s="18" t="s">
        <v>2379</v>
      </c>
      <c r="I30" s="18" t="s">
        <v>2288</v>
      </c>
      <c r="J30" s="18" t="s">
        <v>2262</v>
      </c>
      <c r="K30" s="18"/>
      <c r="L30" s="18" t="s">
        <v>2358</v>
      </c>
      <c r="M30" s="20" t="s">
        <v>1064</v>
      </c>
      <c r="N30" s="18" t="s">
        <v>2380</v>
      </c>
      <c r="O30" s="18" t="s">
        <v>2381</v>
      </c>
      <c r="P30" s="18"/>
      <c r="Q30" s="18"/>
      <c r="R30" s="18"/>
      <c r="S30" s="18"/>
    </row>
    <row r="31" customFormat="false" ht="35.05" hidden="false" customHeight="false" outlineLevel="0" collapsed="false">
      <c r="A31" s="18" t="s">
        <v>1896</v>
      </c>
      <c r="B31" s="18"/>
      <c r="C31" s="18"/>
      <c r="D31" s="18"/>
      <c r="E31" s="18" t="s">
        <v>2381</v>
      </c>
      <c r="F31" s="18" t="s">
        <v>2232</v>
      </c>
      <c r="G31" s="18" t="s">
        <v>2382</v>
      </c>
      <c r="H31" s="18" t="s">
        <v>2383</v>
      </c>
      <c r="I31" s="18" t="s">
        <v>2384</v>
      </c>
      <c r="J31" s="18" t="s">
        <v>2385</v>
      </c>
      <c r="K31" s="18"/>
      <c r="L31" s="18" t="s">
        <v>2386</v>
      </c>
      <c r="M31" s="23" t="s">
        <v>2272</v>
      </c>
      <c r="N31" s="18" t="s">
        <v>2387</v>
      </c>
      <c r="O31" s="18" t="s">
        <v>2388</v>
      </c>
      <c r="P31" s="18"/>
      <c r="Q31" s="18"/>
      <c r="R31" s="18"/>
      <c r="S31" s="18"/>
    </row>
    <row r="32" customFormat="false" ht="23.85" hidden="false" customHeight="false" outlineLevel="0" collapsed="false">
      <c r="A32" s="18" t="s">
        <v>1896</v>
      </c>
      <c r="B32" s="18"/>
      <c r="C32" s="18"/>
      <c r="D32" s="18"/>
      <c r="E32" s="18" t="s">
        <v>2388</v>
      </c>
      <c r="F32" s="18" t="s">
        <v>2266</v>
      </c>
      <c r="G32" s="18" t="s">
        <v>2389</v>
      </c>
      <c r="H32" s="18" t="s">
        <v>2390</v>
      </c>
      <c r="I32" s="18" t="s">
        <v>2261</v>
      </c>
      <c r="J32" s="18" t="s">
        <v>2391</v>
      </c>
      <c r="K32" s="18"/>
      <c r="L32" s="18" t="s">
        <v>2392</v>
      </c>
      <c r="M32" s="23" t="s">
        <v>2272</v>
      </c>
      <c r="N32" s="18" t="s">
        <v>2393</v>
      </c>
      <c r="O32" s="23" t="s">
        <v>2368</v>
      </c>
      <c r="P32" s="18"/>
      <c r="Q32" s="18"/>
      <c r="R32" s="18"/>
      <c r="S32" s="18"/>
    </row>
    <row r="33" customFormat="false" ht="46.25" hidden="false" customHeight="false" outlineLevel="0" collapsed="false">
      <c r="A33" s="29" t="s">
        <v>1906</v>
      </c>
      <c r="B33" s="29" t="s">
        <v>1907</v>
      </c>
      <c r="C33" s="29" t="s">
        <v>2229</v>
      </c>
      <c r="D33" s="29" t="s">
        <v>2394</v>
      </c>
      <c r="E33" s="29" t="s">
        <v>2395</v>
      </c>
      <c r="F33" s="29" t="s">
        <v>2323</v>
      </c>
      <c r="G33" s="29" t="s">
        <v>2396</v>
      </c>
      <c r="H33" s="29"/>
      <c r="I33" s="29" t="s">
        <v>2397</v>
      </c>
      <c r="J33" s="29" t="s">
        <v>2236</v>
      </c>
      <c r="K33" s="29"/>
      <c r="L33" s="29" t="s">
        <v>2398</v>
      </c>
      <c r="M33" s="29" t="s">
        <v>2399</v>
      </c>
      <c r="N33" s="29" t="s">
        <v>763</v>
      </c>
      <c r="O33" s="29" t="s">
        <v>2400</v>
      </c>
      <c r="P33" s="29" t="s">
        <v>2401</v>
      </c>
      <c r="Q33" s="29" t="s">
        <v>2402</v>
      </c>
      <c r="R33" s="29"/>
      <c r="S33" s="29"/>
    </row>
    <row r="34" customFormat="false" ht="35.05" hidden="false" customHeight="false" outlineLevel="0" collapsed="false">
      <c r="A34" s="18" t="s">
        <v>1906</v>
      </c>
      <c r="B34" s="18"/>
      <c r="C34" s="18"/>
      <c r="D34" s="18"/>
      <c r="E34" s="18" t="s">
        <v>2399</v>
      </c>
      <c r="F34" s="18" t="s">
        <v>2232</v>
      </c>
      <c r="G34" s="18" t="s">
        <v>2403</v>
      </c>
      <c r="H34" s="18" t="s">
        <v>2404</v>
      </c>
      <c r="I34" s="18" t="s">
        <v>2305</v>
      </c>
      <c r="J34" s="18" t="s">
        <v>2405</v>
      </c>
      <c r="K34" s="18"/>
      <c r="L34" s="18" t="s">
        <v>2375</v>
      </c>
      <c r="M34" s="18" t="s">
        <v>2406</v>
      </c>
      <c r="N34" s="18" t="s">
        <v>2376</v>
      </c>
      <c r="O34" s="18" t="s">
        <v>2258</v>
      </c>
      <c r="P34" s="18"/>
      <c r="Q34" s="18"/>
      <c r="R34" s="18"/>
      <c r="S34" s="18"/>
    </row>
    <row r="35" customFormat="false" ht="23.85" hidden="false" customHeight="false" outlineLevel="0" collapsed="false">
      <c r="A35" s="18" t="s">
        <v>1906</v>
      </c>
      <c r="B35" s="18"/>
      <c r="C35" s="18"/>
      <c r="D35" s="18"/>
      <c r="E35" s="18" t="s">
        <v>2400</v>
      </c>
      <c r="F35" s="18" t="s">
        <v>2232</v>
      </c>
      <c r="G35" s="18" t="s">
        <v>2407</v>
      </c>
      <c r="H35" s="18" t="s">
        <v>2408</v>
      </c>
      <c r="I35" s="18" t="s">
        <v>2288</v>
      </c>
      <c r="J35" s="18" t="s">
        <v>2262</v>
      </c>
      <c r="K35" s="18"/>
      <c r="L35" s="18" t="s">
        <v>2375</v>
      </c>
      <c r="M35" s="18" t="s">
        <v>2406</v>
      </c>
      <c r="N35" s="18" t="s">
        <v>2376</v>
      </c>
      <c r="O35" s="18" t="s">
        <v>2258</v>
      </c>
      <c r="P35" s="18"/>
      <c r="Q35" s="18"/>
      <c r="R35" s="18"/>
      <c r="S35" s="18"/>
    </row>
    <row r="36" customFormat="false" ht="23.85" hidden="false" customHeight="false" outlineLevel="0" collapsed="false">
      <c r="A36" s="18" t="s">
        <v>1906</v>
      </c>
      <c r="B36" s="18"/>
      <c r="C36" s="18"/>
      <c r="D36" s="18"/>
      <c r="E36" s="18" t="s">
        <v>2402</v>
      </c>
      <c r="F36" s="18" t="s">
        <v>2266</v>
      </c>
      <c r="G36" s="18" t="s">
        <v>2409</v>
      </c>
      <c r="H36" s="18" t="s">
        <v>2410</v>
      </c>
      <c r="I36" s="18" t="s">
        <v>2235</v>
      </c>
      <c r="J36" s="18" t="s">
        <v>2236</v>
      </c>
      <c r="K36" s="18"/>
      <c r="L36" s="18" t="s">
        <v>2349</v>
      </c>
      <c r="M36" s="18" t="s">
        <v>2406</v>
      </c>
      <c r="N36" s="18"/>
      <c r="O36" s="18"/>
      <c r="P36" s="18"/>
      <c r="Q36" s="18"/>
      <c r="R36" s="18"/>
      <c r="S36" s="18"/>
    </row>
    <row r="37" customFormat="false" ht="23.85" hidden="false" customHeight="false" outlineLevel="0" collapsed="false">
      <c r="A37" s="18" t="s">
        <v>1906</v>
      </c>
      <c r="B37" s="18"/>
      <c r="C37" s="18"/>
      <c r="D37" s="18"/>
      <c r="E37" s="18" t="s">
        <v>2258</v>
      </c>
      <c r="F37" s="18" t="s">
        <v>2232</v>
      </c>
      <c r="G37" s="18" t="s">
        <v>2411</v>
      </c>
      <c r="H37" s="18" t="s">
        <v>2412</v>
      </c>
      <c r="I37" s="18" t="s">
        <v>2288</v>
      </c>
      <c r="J37" s="18" t="s">
        <v>2262</v>
      </c>
      <c r="K37" s="18"/>
      <c r="L37" s="18" t="s">
        <v>2358</v>
      </c>
      <c r="M37" s="18" t="s">
        <v>2406</v>
      </c>
      <c r="N37" s="18" t="s">
        <v>2380</v>
      </c>
      <c r="O37" s="18" t="s">
        <v>2413</v>
      </c>
      <c r="P37" s="18"/>
      <c r="Q37" s="18"/>
      <c r="R37" s="18"/>
      <c r="S37" s="18"/>
    </row>
    <row r="38" customFormat="false" ht="23.85" hidden="false" customHeight="false" outlineLevel="0" collapsed="false">
      <c r="A38" s="18" t="s">
        <v>1906</v>
      </c>
      <c r="B38" s="18"/>
      <c r="C38" s="18"/>
      <c r="D38" s="18"/>
      <c r="E38" s="18" t="s">
        <v>2406</v>
      </c>
      <c r="F38" s="18" t="s">
        <v>2232</v>
      </c>
      <c r="G38" s="18" t="s">
        <v>2414</v>
      </c>
      <c r="H38" s="18" t="s">
        <v>2415</v>
      </c>
      <c r="I38" s="18" t="s">
        <v>2416</v>
      </c>
      <c r="J38" s="18" t="s">
        <v>2417</v>
      </c>
      <c r="K38" s="18"/>
      <c r="L38" s="18" t="s">
        <v>2418</v>
      </c>
      <c r="M38" s="20" t="s">
        <v>1064</v>
      </c>
      <c r="N38" s="18" t="s">
        <v>2419</v>
      </c>
      <c r="O38" s="23" t="s">
        <v>2368</v>
      </c>
      <c r="P38" s="18"/>
      <c r="Q38" s="18"/>
      <c r="R38" s="18"/>
      <c r="S38" s="18"/>
    </row>
    <row r="39" customFormat="false" ht="23.85" hidden="false" customHeight="false" outlineLevel="0" collapsed="false">
      <c r="A39" s="18" t="s">
        <v>1906</v>
      </c>
      <c r="B39" s="18"/>
      <c r="C39" s="18"/>
      <c r="D39" s="18"/>
      <c r="E39" s="18" t="s">
        <v>2413</v>
      </c>
      <c r="F39" s="18" t="s">
        <v>2266</v>
      </c>
      <c r="G39" s="18" t="s">
        <v>2414</v>
      </c>
      <c r="H39" s="18" t="s">
        <v>2420</v>
      </c>
      <c r="I39" s="18" t="s">
        <v>2235</v>
      </c>
      <c r="J39" s="18" t="s">
        <v>2417</v>
      </c>
      <c r="K39" s="18"/>
      <c r="L39" s="18" t="s">
        <v>2349</v>
      </c>
      <c r="M39" s="23" t="s">
        <v>2272</v>
      </c>
      <c r="N39" s="18"/>
      <c r="O39" s="18"/>
      <c r="P39" s="18"/>
      <c r="Q39" s="18"/>
      <c r="R39" s="18"/>
      <c r="S39" s="18"/>
    </row>
    <row r="40" customFormat="false" ht="35.05" hidden="false" customHeight="false" outlineLevel="0" collapsed="false">
      <c r="A40" s="29" t="s">
        <v>1916</v>
      </c>
      <c r="B40" s="29" t="s">
        <v>1917</v>
      </c>
      <c r="C40" s="29" t="s">
        <v>2301</v>
      </c>
      <c r="D40" s="29" t="s">
        <v>2421</v>
      </c>
      <c r="E40" s="29" t="s">
        <v>2422</v>
      </c>
      <c r="F40" s="29" t="s">
        <v>2276</v>
      </c>
      <c r="G40" s="29" t="s">
        <v>2423</v>
      </c>
      <c r="H40" s="29" t="s">
        <v>2424</v>
      </c>
      <c r="I40" s="29" t="s">
        <v>2235</v>
      </c>
      <c r="J40" s="29" t="s">
        <v>2236</v>
      </c>
      <c r="K40" s="29"/>
      <c r="L40" s="29" t="s">
        <v>2425</v>
      </c>
      <c r="M40" s="30" t="s">
        <v>1064</v>
      </c>
      <c r="N40" s="29" t="s">
        <v>2426</v>
      </c>
      <c r="O40" s="29" t="s">
        <v>2427</v>
      </c>
      <c r="P40" s="29"/>
      <c r="Q40" s="29"/>
      <c r="R40" s="29"/>
      <c r="S40" s="29"/>
    </row>
    <row r="41" customFormat="false" ht="15" hidden="false" customHeight="false" outlineLevel="0" collapsed="false">
      <c r="A41" s="18" t="s">
        <v>1916</v>
      </c>
      <c r="B41" s="18"/>
      <c r="C41" s="18"/>
      <c r="D41" s="18"/>
      <c r="E41" s="18" t="s">
        <v>2427</v>
      </c>
      <c r="F41" s="18" t="s">
        <v>2323</v>
      </c>
      <c r="G41" s="18" t="s">
        <v>2428</v>
      </c>
      <c r="H41" s="18" t="s">
        <v>2429</v>
      </c>
      <c r="I41" s="18" t="s">
        <v>2342</v>
      </c>
      <c r="J41" s="18" t="s">
        <v>2236</v>
      </c>
      <c r="K41" s="18"/>
      <c r="L41" s="18" t="s">
        <v>2430</v>
      </c>
      <c r="M41" s="18" t="s">
        <v>2431</v>
      </c>
      <c r="N41" s="18" t="s">
        <v>2432</v>
      </c>
      <c r="O41" s="18" t="s">
        <v>2431</v>
      </c>
      <c r="P41" s="18" t="s">
        <v>2433</v>
      </c>
      <c r="Q41" s="18" t="s">
        <v>2434</v>
      </c>
      <c r="R41" s="18" t="s">
        <v>2435</v>
      </c>
      <c r="S41" s="18" t="s">
        <v>2436</v>
      </c>
    </row>
    <row r="42" customFormat="false" ht="23.85" hidden="false" customHeight="false" outlineLevel="0" collapsed="false">
      <c r="A42" s="18" t="s">
        <v>1916</v>
      </c>
      <c r="B42" s="18"/>
      <c r="C42" s="18"/>
      <c r="D42" s="18"/>
      <c r="E42" s="18" t="s">
        <v>2434</v>
      </c>
      <c r="F42" s="18" t="s">
        <v>2232</v>
      </c>
      <c r="G42" s="18" t="s">
        <v>2437</v>
      </c>
      <c r="H42" s="18" t="s">
        <v>2438</v>
      </c>
      <c r="I42" s="18" t="s">
        <v>2235</v>
      </c>
      <c r="J42" s="18" t="s">
        <v>2236</v>
      </c>
      <c r="K42" s="18"/>
      <c r="L42" s="18" t="s">
        <v>2439</v>
      </c>
      <c r="M42" s="20" t="s">
        <v>1064</v>
      </c>
      <c r="N42" s="18" t="s">
        <v>2440</v>
      </c>
      <c r="O42" s="18" t="s">
        <v>2431</v>
      </c>
      <c r="P42" s="18"/>
      <c r="Q42" s="18"/>
      <c r="R42" s="18"/>
      <c r="S42" s="18"/>
    </row>
    <row r="43" customFormat="false" ht="35.05" hidden="false" customHeight="false" outlineLevel="0" collapsed="false">
      <c r="A43" s="18" t="s">
        <v>1916</v>
      </c>
      <c r="B43" s="18"/>
      <c r="C43" s="18"/>
      <c r="D43" s="18"/>
      <c r="E43" s="18" t="s">
        <v>2431</v>
      </c>
      <c r="F43" s="18" t="s">
        <v>2266</v>
      </c>
      <c r="G43" s="18" t="s">
        <v>2441</v>
      </c>
      <c r="H43" s="18" t="s">
        <v>2442</v>
      </c>
      <c r="I43" s="18" t="s">
        <v>2269</v>
      </c>
      <c r="J43" s="18" t="s">
        <v>2236</v>
      </c>
      <c r="K43" s="18" t="s">
        <v>2443</v>
      </c>
      <c r="L43" s="18" t="s">
        <v>2271</v>
      </c>
      <c r="M43" s="23" t="s">
        <v>2272</v>
      </c>
      <c r="N43" s="18"/>
      <c r="O43" s="18"/>
      <c r="P43" s="18"/>
      <c r="Q43" s="18"/>
      <c r="R43" s="18"/>
      <c r="S43" s="18"/>
    </row>
    <row r="44" customFormat="false" ht="35.05" hidden="false" customHeight="false" outlineLevel="0" collapsed="false">
      <c r="A44" s="18" t="s">
        <v>1916</v>
      </c>
      <c r="B44" s="18"/>
      <c r="C44" s="18"/>
      <c r="D44" s="18"/>
      <c r="E44" s="18" t="s">
        <v>2436</v>
      </c>
      <c r="F44" s="18" t="s">
        <v>2266</v>
      </c>
      <c r="G44" s="18" t="s">
        <v>2444</v>
      </c>
      <c r="H44" s="18" t="s">
        <v>2445</v>
      </c>
      <c r="I44" s="18" t="s">
        <v>2269</v>
      </c>
      <c r="J44" s="18" t="s">
        <v>2236</v>
      </c>
      <c r="K44" s="18" t="s">
        <v>2443</v>
      </c>
      <c r="L44" s="18" t="s">
        <v>2271</v>
      </c>
      <c r="M44" s="27" t="s">
        <v>2299</v>
      </c>
      <c r="N44" s="18"/>
      <c r="O44" s="18"/>
      <c r="P44" s="18"/>
      <c r="Q44" s="18"/>
      <c r="R44" s="18"/>
      <c r="S44" s="18"/>
    </row>
    <row r="45" customFormat="false" ht="23.85" hidden="false" customHeight="false" outlineLevel="0" collapsed="false">
      <c r="A45" s="29" t="s">
        <v>1926</v>
      </c>
      <c r="B45" s="29" t="s">
        <v>1927</v>
      </c>
      <c r="C45" s="29" t="s">
        <v>2229</v>
      </c>
      <c r="D45" s="29" t="s">
        <v>2446</v>
      </c>
      <c r="E45" s="29" t="s">
        <v>2447</v>
      </c>
      <c r="F45" s="29" t="s">
        <v>2266</v>
      </c>
      <c r="G45" s="29" t="s">
        <v>2448</v>
      </c>
      <c r="H45" s="29" t="s">
        <v>2449</v>
      </c>
      <c r="I45" s="29" t="s">
        <v>2235</v>
      </c>
      <c r="J45" s="29" t="s">
        <v>2236</v>
      </c>
      <c r="K45" s="29"/>
      <c r="L45" s="29" t="s">
        <v>2450</v>
      </c>
      <c r="M45" s="30" t="s">
        <v>1064</v>
      </c>
      <c r="N45" s="29" t="s">
        <v>2451</v>
      </c>
      <c r="O45" s="29" t="s">
        <v>2452</v>
      </c>
      <c r="P45" s="29" t="s">
        <v>2453</v>
      </c>
      <c r="Q45" s="31" t="s">
        <v>2272</v>
      </c>
      <c r="R45" s="29"/>
      <c r="S45" s="29"/>
    </row>
    <row r="46" customFormat="false" ht="15" hidden="false" customHeight="false" outlineLevel="0" collapsed="false">
      <c r="A46" s="18" t="s">
        <v>1926</v>
      </c>
      <c r="B46" s="18"/>
      <c r="C46" s="18"/>
      <c r="D46" s="18"/>
      <c r="E46" s="18" t="s">
        <v>2452</v>
      </c>
      <c r="F46" s="18" t="s">
        <v>2232</v>
      </c>
      <c r="G46" s="18" t="s">
        <v>2454</v>
      </c>
      <c r="H46" s="18" t="s">
        <v>2455</v>
      </c>
      <c r="I46" s="18" t="s">
        <v>2384</v>
      </c>
      <c r="J46" s="18" t="s">
        <v>2262</v>
      </c>
      <c r="K46" s="18"/>
      <c r="L46" s="18" t="s">
        <v>2456</v>
      </c>
      <c r="M46" s="20" t="s">
        <v>1064</v>
      </c>
      <c r="N46" s="18" t="s">
        <v>1105</v>
      </c>
      <c r="O46" s="23" t="s">
        <v>2272</v>
      </c>
      <c r="P46" s="18"/>
      <c r="Q46" s="18"/>
      <c r="R46" s="18"/>
      <c r="S46" s="18"/>
    </row>
    <row r="47" customFormat="false" ht="46.25" hidden="false" customHeight="false" outlineLevel="0" collapsed="false">
      <c r="A47" s="29" t="s">
        <v>1936</v>
      </c>
      <c r="B47" s="29" t="s">
        <v>1937</v>
      </c>
      <c r="C47" s="29" t="s">
        <v>2457</v>
      </c>
      <c r="D47" s="29" t="s">
        <v>2458</v>
      </c>
      <c r="E47" s="29" t="s">
        <v>2459</v>
      </c>
      <c r="F47" s="29" t="s">
        <v>2276</v>
      </c>
      <c r="G47" s="29" t="s">
        <v>2460</v>
      </c>
      <c r="H47" s="29" t="s">
        <v>2461</v>
      </c>
      <c r="I47" s="29" t="s">
        <v>2269</v>
      </c>
      <c r="J47" s="29" t="s">
        <v>2236</v>
      </c>
      <c r="K47" s="29"/>
      <c r="L47" s="29" t="s">
        <v>2279</v>
      </c>
      <c r="M47" s="29" t="s">
        <v>2447</v>
      </c>
      <c r="N47" s="29"/>
      <c r="O47" s="29"/>
      <c r="P47" s="29"/>
      <c r="Q47" s="29"/>
      <c r="R47" s="29"/>
      <c r="S47" s="29"/>
    </row>
    <row r="48" customFormat="false" ht="23.85" hidden="false" customHeight="false" outlineLevel="0" collapsed="false">
      <c r="A48" s="18" t="s">
        <v>1936</v>
      </c>
      <c r="B48" s="18"/>
      <c r="C48" s="18"/>
      <c r="D48" s="18"/>
      <c r="E48" s="18" t="s">
        <v>2447</v>
      </c>
      <c r="F48" s="18" t="s">
        <v>2266</v>
      </c>
      <c r="G48" s="18" t="s">
        <v>2347</v>
      </c>
      <c r="H48" s="18" t="s">
        <v>2462</v>
      </c>
      <c r="I48" s="18" t="s">
        <v>2235</v>
      </c>
      <c r="J48" s="18" t="s">
        <v>2236</v>
      </c>
      <c r="K48" s="18"/>
      <c r="L48" s="18" t="s">
        <v>2463</v>
      </c>
      <c r="M48" s="23" t="s">
        <v>2272</v>
      </c>
      <c r="N48" s="18" t="s">
        <v>2464</v>
      </c>
      <c r="O48" s="27" t="s">
        <v>2299</v>
      </c>
      <c r="P48" s="18"/>
      <c r="Q48" s="18"/>
      <c r="R48" s="18"/>
      <c r="S48" s="18"/>
    </row>
    <row r="49" customFormat="false" ht="46.25" hidden="false" customHeight="false" outlineLevel="0" collapsed="false">
      <c r="A49" s="29" t="s">
        <v>1946</v>
      </c>
      <c r="B49" s="29" t="s">
        <v>1947</v>
      </c>
      <c r="C49" s="29" t="s">
        <v>2465</v>
      </c>
      <c r="D49" s="29" t="s">
        <v>2466</v>
      </c>
      <c r="E49" s="29" t="s">
        <v>2467</v>
      </c>
      <c r="F49" s="29" t="s">
        <v>2266</v>
      </c>
      <c r="G49" s="29" t="s">
        <v>2468</v>
      </c>
      <c r="H49" s="29" t="s">
        <v>2469</v>
      </c>
      <c r="I49" s="29" t="s">
        <v>2305</v>
      </c>
      <c r="J49" s="29" t="s">
        <v>2236</v>
      </c>
      <c r="K49" s="29"/>
      <c r="L49" s="29" t="s">
        <v>2470</v>
      </c>
      <c r="M49" s="31" t="s">
        <v>2368</v>
      </c>
      <c r="N49" s="29" t="s">
        <v>2471</v>
      </c>
      <c r="O49" s="32" t="s">
        <v>2299</v>
      </c>
      <c r="P49" s="29"/>
      <c r="Q49" s="29"/>
      <c r="R49" s="29"/>
      <c r="S49" s="29"/>
    </row>
    <row r="50" customFormat="false" ht="35.05" hidden="false" customHeight="false" outlineLevel="0" collapsed="false">
      <c r="A50" s="29" t="s">
        <v>1956</v>
      </c>
      <c r="B50" s="29" t="s">
        <v>1957</v>
      </c>
      <c r="C50" s="29" t="s">
        <v>2300</v>
      </c>
      <c r="D50" s="29" t="s">
        <v>2472</v>
      </c>
      <c r="E50" s="29" t="s">
        <v>2473</v>
      </c>
      <c r="F50" s="29" t="s">
        <v>2266</v>
      </c>
      <c r="G50" s="29" t="s">
        <v>2474</v>
      </c>
      <c r="H50" s="29" t="s">
        <v>2475</v>
      </c>
      <c r="I50" s="29" t="s">
        <v>2242</v>
      </c>
      <c r="J50" s="29" t="s">
        <v>2236</v>
      </c>
      <c r="K50" s="29"/>
      <c r="L50" s="29" t="s">
        <v>2349</v>
      </c>
      <c r="M50" s="29" t="s">
        <v>2476</v>
      </c>
      <c r="N50" s="29"/>
      <c r="O50" s="29"/>
      <c r="P50" s="29"/>
      <c r="Q50" s="29"/>
      <c r="R50" s="29"/>
      <c r="S50" s="29"/>
    </row>
    <row r="51" customFormat="false" ht="23.85" hidden="false" customHeight="false" outlineLevel="0" collapsed="false">
      <c r="A51" s="18" t="s">
        <v>1956</v>
      </c>
      <c r="B51" s="18"/>
      <c r="C51" s="18"/>
      <c r="D51" s="18"/>
      <c r="E51" s="18" t="s">
        <v>2476</v>
      </c>
      <c r="F51" s="18" t="s">
        <v>2323</v>
      </c>
      <c r="G51" s="18" t="s">
        <v>2477</v>
      </c>
      <c r="H51" s="18"/>
      <c r="I51" s="18" t="s">
        <v>2342</v>
      </c>
      <c r="J51" s="18" t="s">
        <v>2236</v>
      </c>
      <c r="K51" s="18"/>
      <c r="L51" s="18" t="s">
        <v>1065</v>
      </c>
      <c r="M51" s="20" t="s">
        <v>1064</v>
      </c>
      <c r="N51" s="18" t="s">
        <v>2478</v>
      </c>
      <c r="O51" s="18" t="s">
        <v>2479</v>
      </c>
      <c r="P51" s="18" t="s">
        <v>2480</v>
      </c>
      <c r="Q51" s="18" t="s">
        <v>2481</v>
      </c>
      <c r="R51" s="18"/>
      <c r="S51" s="18"/>
    </row>
    <row r="52" customFormat="false" ht="23.85" hidden="false" customHeight="false" outlineLevel="0" collapsed="false">
      <c r="A52" s="18" t="s">
        <v>1956</v>
      </c>
      <c r="B52" s="18"/>
      <c r="C52" s="18"/>
      <c r="D52" s="18"/>
      <c r="E52" s="18" t="s">
        <v>2479</v>
      </c>
      <c r="F52" s="18" t="s">
        <v>2266</v>
      </c>
      <c r="G52" s="18" t="s">
        <v>2482</v>
      </c>
      <c r="H52" s="18" t="s">
        <v>2483</v>
      </c>
      <c r="I52" s="18" t="s">
        <v>2311</v>
      </c>
      <c r="J52" s="18" t="s">
        <v>2236</v>
      </c>
      <c r="K52" s="18"/>
      <c r="L52" s="18" t="s">
        <v>2484</v>
      </c>
      <c r="M52" s="23" t="s">
        <v>2368</v>
      </c>
      <c r="N52" s="18" t="s">
        <v>2485</v>
      </c>
      <c r="O52" s="23" t="s">
        <v>2272</v>
      </c>
      <c r="P52" s="18"/>
      <c r="Q52" s="18"/>
      <c r="R52" s="18"/>
      <c r="S52" s="18"/>
    </row>
    <row r="53" customFormat="false" ht="23.85" hidden="false" customHeight="false" outlineLevel="0" collapsed="false">
      <c r="A53" s="18" t="s">
        <v>1956</v>
      </c>
      <c r="B53" s="18"/>
      <c r="C53" s="18"/>
      <c r="D53" s="18"/>
      <c r="E53" s="18" t="s">
        <v>2481</v>
      </c>
      <c r="F53" s="18" t="s">
        <v>2266</v>
      </c>
      <c r="G53" s="18" t="s">
        <v>2486</v>
      </c>
      <c r="H53" s="18" t="s">
        <v>2487</v>
      </c>
      <c r="I53" s="18" t="s">
        <v>2305</v>
      </c>
      <c r="J53" s="18" t="s">
        <v>2236</v>
      </c>
      <c r="K53" s="18"/>
      <c r="L53" s="18" t="s">
        <v>2349</v>
      </c>
      <c r="M53" s="23" t="s">
        <v>2272</v>
      </c>
      <c r="N53" s="18"/>
      <c r="O53" s="18"/>
      <c r="P53" s="18"/>
      <c r="Q53" s="18"/>
      <c r="R53" s="18"/>
      <c r="S53" s="18"/>
    </row>
    <row r="54" customFormat="false" ht="35.05" hidden="false" customHeight="false" outlineLevel="0" collapsed="false">
      <c r="A54" s="29" t="s">
        <v>1966</v>
      </c>
      <c r="B54" s="29" t="s">
        <v>285</v>
      </c>
      <c r="C54" s="29" t="s">
        <v>2300</v>
      </c>
      <c r="D54" s="29" t="s">
        <v>2488</v>
      </c>
      <c r="E54" s="29" t="s">
        <v>2489</v>
      </c>
      <c r="F54" s="29" t="s">
        <v>2232</v>
      </c>
      <c r="G54" s="29" t="s">
        <v>2490</v>
      </c>
      <c r="H54" s="29" t="s">
        <v>2491</v>
      </c>
      <c r="I54" s="29" t="s">
        <v>2242</v>
      </c>
      <c r="J54" s="29" t="s">
        <v>2236</v>
      </c>
      <c r="K54" s="29"/>
      <c r="L54" s="29" t="s">
        <v>2492</v>
      </c>
      <c r="M54" s="29" t="s">
        <v>2493</v>
      </c>
      <c r="N54" s="29"/>
      <c r="O54" s="29"/>
      <c r="P54" s="29"/>
      <c r="Q54" s="29"/>
      <c r="R54" s="29"/>
      <c r="S54" s="29"/>
    </row>
    <row r="55" customFormat="false" ht="15" hidden="false" customHeight="false" outlineLevel="0" collapsed="false">
      <c r="A55" s="18" t="s">
        <v>1966</v>
      </c>
      <c r="B55" s="18"/>
      <c r="C55" s="18"/>
      <c r="D55" s="18"/>
      <c r="E55" s="18" t="s">
        <v>2493</v>
      </c>
      <c r="F55" s="18" t="s">
        <v>2323</v>
      </c>
      <c r="G55" s="18" t="s">
        <v>2494</v>
      </c>
      <c r="H55" s="18"/>
      <c r="I55" s="18" t="s">
        <v>2397</v>
      </c>
      <c r="J55" s="18" t="s">
        <v>2236</v>
      </c>
      <c r="K55" s="18"/>
      <c r="L55" s="18" t="s">
        <v>1071</v>
      </c>
      <c r="M55" s="20" t="s">
        <v>1064</v>
      </c>
      <c r="N55" s="18" t="s">
        <v>1148</v>
      </c>
      <c r="O55" s="18" t="s">
        <v>2495</v>
      </c>
      <c r="P55" s="18"/>
      <c r="Q55" s="18"/>
      <c r="R55" s="18"/>
      <c r="S55" s="18"/>
    </row>
    <row r="56" customFormat="false" ht="46.25" hidden="false" customHeight="false" outlineLevel="0" collapsed="false">
      <c r="A56" s="18" t="s">
        <v>1966</v>
      </c>
      <c r="B56" s="18"/>
      <c r="C56" s="18"/>
      <c r="D56" s="18"/>
      <c r="E56" s="18" t="s">
        <v>2495</v>
      </c>
      <c r="F56" s="18" t="s">
        <v>2266</v>
      </c>
      <c r="G56" s="18" t="s">
        <v>2496</v>
      </c>
      <c r="H56" s="18" t="s">
        <v>2497</v>
      </c>
      <c r="I56" s="18" t="s">
        <v>2269</v>
      </c>
      <c r="J56" s="18" t="s">
        <v>2236</v>
      </c>
      <c r="K56" s="18"/>
      <c r="L56" s="18" t="s">
        <v>2498</v>
      </c>
      <c r="M56" s="23" t="s">
        <v>2368</v>
      </c>
      <c r="N56" s="18" t="s">
        <v>2499</v>
      </c>
      <c r="O56" s="23" t="s">
        <v>2272</v>
      </c>
      <c r="P56" s="18"/>
      <c r="Q56" s="18"/>
      <c r="R56" s="18"/>
      <c r="S56" s="18"/>
    </row>
    <row r="57" customFormat="false" ht="35.05" hidden="false" customHeight="false" outlineLevel="0" collapsed="false">
      <c r="A57" s="29" t="s">
        <v>1975</v>
      </c>
      <c r="B57" s="29" t="s">
        <v>293</v>
      </c>
      <c r="C57" s="29" t="s">
        <v>2500</v>
      </c>
      <c r="D57" s="29" t="s">
        <v>2501</v>
      </c>
      <c r="E57" s="29" t="s">
        <v>2502</v>
      </c>
      <c r="F57" s="29" t="s">
        <v>2232</v>
      </c>
      <c r="G57" s="29" t="s">
        <v>2503</v>
      </c>
      <c r="H57" s="29" t="s">
        <v>2504</v>
      </c>
      <c r="I57" s="29" t="s">
        <v>2242</v>
      </c>
      <c r="J57" s="29" t="s">
        <v>2236</v>
      </c>
      <c r="K57" s="29"/>
      <c r="L57" s="29" t="s">
        <v>2505</v>
      </c>
      <c r="M57" s="30" t="s">
        <v>1064</v>
      </c>
      <c r="N57" s="29" t="s">
        <v>2506</v>
      </c>
      <c r="O57" s="29" t="s">
        <v>2507</v>
      </c>
      <c r="P57" s="29"/>
      <c r="Q57" s="29"/>
      <c r="R57" s="29"/>
      <c r="S57" s="29"/>
    </row>
    <row r="58" customFormat="false" ht="23.85" hidden="false" customHeight="false" outlineLevel="0" collapsed="false">
      <c r="A58" s="18" t="s">
        <v>1975</v>
      </c>
      <c r="B58" s="18"/>
      <c r="C58" s="18"/>
      <c r="D58" s="18"/>
      <c r="E58" s="18" t="s">
        <v>2507</v>
      </c>
      <c r="F58" s="18" t="s">
        <v>2232</v>
      </c>
      <c r="G58" s="18" t="s">
        <v>2508</v>
      </c>
      <c r="H58" s="18" t="s">
        <v>2509</v>
      </c>
      <c r="I58" s="18" t="s">
        <v>2510</v>
      </c>
      <c r="J58" s="18" t="s">
        <v>2511</v>
      </c>
      <c r="K58" s="18"/>
      <c r="L58" s="18" t="s">
        <v>2512</v>
      </c>
      <c r="M58" s="20" t="s">
        <v>1064</v>
      </c>
      <c r="N58" s="18" t="s">
        <v>2513</v>
      </c>
      <c r="O58" s="18" t="s">
        <v>2514</v>
      </c>
      <c r="P58" s="18" t="s">
        <v>2515</v>
      </c>
      <c r="Q58" s="23" t="s">
        <v>2368</v>
      </c>
      <c r="R58" s="18"/>
      <c r="S58" s="18"/>
    </row>
    <row r="59" customFormat="false" ht="23.85" hidden="false" customHeight="false" outlineLevel="0" collapsed="false">
      <c r="A59" s="18" t="s">
        <v>1975</v>
      </c>
      <c r="B59" s="18"/>
      <c r="C59" s="18"/>
      <c r="D59" s="18"/>
      <c r="E59" s="18" t="s">
        <v>2514</v>
      </c>
      <c r="F59" s="18" t="s">
        <v>2266</v>
      </c>
      <c r="G59" s="18" t="s">
        <v>2516</v>
      </c>
      <c r="H59" s="18" t="s">
        <v>2517</v>
      </c>
      <c r="I59" s="18" t="s">
        <v>2518</v>
      </c>
      <c r="J59" s="18" t="s">
        <v>2391</v>
      </c>
      <c r="K59" s="18"/>
      <c r="L59" s="18" t="s">
        <v>2519</v>
      </c>
      <c r="M59" s="20" t="s">
        <v>1064</v>
      </c>
      <c r="N59" s="18" t="s">
        <v>2520</v>
      </c>
      <c r="O59" s="23" t="s">
        <v>2368</v>
      </c>
      <c r="P59" s="18"/>
      <c r="Q59" s="18"/>
      <c r="R59" s="18"/>
      <c r="S59" s="18"/>
    </row>
    <row r="60" customFormat="false" ht="46.25" hidden="false" customHeight="false" outlineLevel="0" collapsed="false">
      <c r="A60" s="29" t="s">
        <v>1984</v>
      </c>
      <c r="B60" s="29" t="s">
        <v>1985</v>
      </c>
      <c r="C60" s="29" t="s">
        <v>2521</v>
      </c>
      <c r="D60" s="29" t="s">
        <v>2522</v>
      </c>
      <c r="E60" s="29" t="s">
        <v>2523</v>
      </c>
      <c r="F60" s="29" t="s">
        <v>2524</v>
      </c>
      <c r="G60" s="29" t="s">
        <v>2525</v>
      </c>
      <c r="H60" s="29" t="s">
        <v>2526</v>
      </c>
      <c r="I60" s="29" t="s">
        <v>2527</v>
      </c>
      <c r="J60" s="29" t="s">
        <v>2236</v>
      </c>
      <c r="K60" s="29"/>
      <c r="L60" s="29" t="s">
        <v>2528</v>
      </c>
      <c r="M60" s="30" t="s">
        <v>1064</v>
      </c>
      <c r="N60" s="29" t="s">
        <v>2529</v>
      </c>
      <c r="O60" s="29" t="s">
        <v>2530</v>
      </c>
      <c r="P60" s="29"/>
      <c r="Q60" s="29"/>
      <c r="R60" s="29"/>
      <c r="S60" s="29"/>
    </row>
    <row r="61" customFormat="false" ht="23.85" hidden="false" customHeight="false" outlineLevel="0" collapsed="false">
      <c r="A61" s="18" t="s">
        <v>1984</v>
      </c>
      <c r="B61" s="18"/>
      <c r="C61" s="18"/>
      <c r="D61" s="18"/>
      <c r="E61" s="18" t="s">
        <v>2530</v>
      </c>
      <c r="F61" s="18" t="s">
        <v>2232</v>
      </c>
      <c r="G61" s="18" t="s">
        <v>2531</v>
      </c>
      <c r="H61" s="18" t="s">
        <v>2532</v>
      </c>
      <c r="I61" s="18" t="s">
        <v>2533</v>
      </c>
      <c r="J61" s="18" t="s">
        <v>2534</v>
      </c>
      <c r="K61" s="18"/>
      <c r="L61" s="18" t="s">
        <v>2535</v>
      </c>
      <c r="M61" s="20" t="s">
        <v>1064</v>
      </c>
      <c r="N61" s="18" t="s">
        <v>2536</v>
      </c>
      <c r="O61" s="23" t="s">
        <v>2368</v>
      </c>
      <c r="P61" s="18"/>
      <c r="Q61" s="18"/>
      <c r="R61" s="18"/>
      <c r="S61" s="18"/>
    </row>
    <row r="62" customFormat="false" ht="35.05" hidden="false" customHeight="false" outlineLevel="0" collapsed="false">
      <c r="A62" s="29" t="s">
        <v>1994</v>
      </c>
      <c r="B62" s="29" t="s">
        <v>1995</v>
      </c>
      <c r="C62" s="29" t="s">
        <v>2300</v>
      </c>
      <c r="D62" s="29" t="s">
        <v>2537</v>
      </c>
      <c r="E62" s="29" t="s">
        <v>2538</v>
      </c>
      <c r="F62" s="29" t="s">
        <v>2266</v>
      </c>
      <c r="G62" s="29" t="s">
        <v>2539</v>
      </c>
      <c r="H62" s="29" t="s">
        <v>2540</v>
      </c>
      <c r="I62" s="29" t="s">
        <v>2242</v>
      </c>
      <c r="J62" s="29" t="s">
        <v>2236</v>
      </c>
      <c r="K62" s="29"/>
      <c r="L62" s="29" t="s">
        <v>2349</v>
      </c>
      <c r="M62" s="29" t="s">
        <v>2541</v>
      </c>
      <c r="N62" s="29"/>
      <c r="O62" s="29"/>
      <c r="P62" s="29"/>
      <c r="Q62" s="29"/>
      <c r="R62" s="29"/>
      <c r="S62" s="29"/>
    </row>
    <row r="63" customFormat="false" ht="23.85" hidden="false" customHeight="false" outlineLevel="0" collapsed="false">
      <c r="A63" s="18" t="s">
        <v>1994</v>
      </c>
      <c r="B63" s="18"/>
      <c r="C63" s="18"/>
      <c r="D63" s="18"/>
      <c r="E63" s="18" t="s">
        <v>2541</v>
      </c>
      <c r="F63" s="18" t="s">
        <v>2266</v>
      </c>
      <c r="G63" s="18" t="s">
        <v>2542</v>
      </c>
      <c r="H63" s="18" t="s">
        <v>2543</v>
      </c>
      <c r="I63" s="18" t="s">
        <v>2384</v>
      </c>
      <c r="J63" s="18" t="s">
        <v>2236</v>
      </c>
      <c r="K63" s="18"/>
      <c r="L63" s="18" t="s">
        <v>2349</v>
      </c>
      <c r="M63" s="23" t="s">
        <v>2272</v>
      </c>
      <c r="N63" s="18"/>
      <c r="O63" s="18"/>
      <c r="P63" s="18"/>
      <c r="Q63" s="18"/>
      <c r="R63" s="18"/>
      <c r="S63" s="18"/>
    </row>
    <row r="64" customFormat="false" ht="35.05" hidden="false" customHeight="false" outlineLevel="0" collapsed="false">
      <c r="A64" s="29" t="s">
        <v>2004</v>
      </c>
      <c r="B64" s="29" t="s">
        <v>2005</v>
      </c>
      <c r="C64" s="29" t="s">
        <v>2544</v>
      </c>
      <c r="D64" s="29" t="s">
        <v>2545</v>
      </c>
      <c r="E64" s="29" t="s">
        <v>2546</v>
      </c>
      <c r="F64" s="29" t="s">
        <v>2323</v>
      </c>
      <c r="G64" s="29" t="s">
        <v>2547</v>
      </c>
      <c r="H64" s="29"/>
      <c r="I64" s="29" t="s">
        <v>2397</v>
      </c>
      <c r="J64" s="29" t="s">
        <v>2236</v>
      </c>
      <c r="K64" s="29"/>
      <c r="L64" s="29" t="s">
        <v>2548</v>
      </c>
      <c r="M64" s="29" t="s">
        <v>2549</v>
      </c>
      <c r="N64" s="29" t="s">
        <v>2550</v>
      </c>
      <c r="O64" s="29" t="s">
        <v>2551</v>
      </c>
      <c r="P64" s="29"/>
      <c r="Q64" s="29"/>
      <c r="R64" s="29"/>
      <c r="S64" s="29"/>
    </row>
    <row r="65" customFormat="false" ht="23.85" hidden="false" customHeight="false" outlineLevel="0" collapsed="false">
      <c r="A65" s="18" t="s">
        <v>2004</v>
      </c>
      <c r="B65" s="18"/>
      <c r="C65" s="18"/>
      <c r="D65" s="18"/>
      <c r="E65" s="18" t="s">
        <v>2549</v>
      </c>
      <c r="F65" s="18" t="s">
        <v>2232</v>
      </c>
      <c r="G65" s="18" t="s">
        <v>2552</v>
      </c>
      <c r="H65" s="18" t="s">
        <v>2553</v>
      </c>
      <c r="I65" s="18" t="s">
        <v>2288</v>
      </c>
      <c r="J65" s="18" t="s">
        <v>2554</v>
      </c>
      <c r="K65" s="18"/>
      <c r="L65" s="18" t="s">
        <v>2555</v>
      </c>
      <c r="M65" s="18" t="s">
        <v>2541</v>
      </c>
      <c r="N65" s="18"/>
      <c r="O65" s="18"/>
      <c r="P65" s="18"/>
      <c r="Q65" s="18"/>
      <c r="R65" s="18"/>
      <c r="S65" s="18"/>
    </row>
    <row r="66" customFormat="false" ht="35.05" hidden="false" customHeight="false" outlineLevel="0" collapsed="false">
      <c r="A66" s="18" t="s">
        <v>2004</v>
      </c>
      <c r="B66" s="18"/>
      <c r="C66" s="18"/>
      <c r="D66" s="18"/>
      <c r="E66" s="18" t="s">
        <v>2541</v>
      </c>
      <c r="F66" s="18" t="s">
        <v>2266</v>
      </c>
      <c r="G66" s="18" t="s">
        <v>2556</v>
      </c>
      <c r="H66" s="18" t="s">
        <v>2557</v>
      </c>
      <c r="I66" s="18" t="s">
        <v>2558</v>
      </c>
      <c r="J66" s="18" t="s">
        <v>2391</v>
      </c>
      <c r="K66" s="18"/>
      <c r="L66" s="18" t="s">
        <v>2559</v>
      </c>
      <c r="M66" s="23" t="s">
        <v>2368</v>
      </c>
      <c r="N66" s="18" t="s">
        <v>2560</v>
      </c>
      <c r="O66" s="23" t="s">
        <v>2272</v>
      </c>
      <c r="P66" s="18"/>
      <c r="Q66" s="18"/>
      <c r="R66" s="18"/>
      <c r="S66" s="18"/>
    </row>
    <row r="67" customFormat="false" ht="23.85" hidden="false" customHeight="false" outlineLevel="0" collapsed="false">
      <c r="A67" s="18" t="s">
        <v>2004</v>
      </c>
      <c r="B67" s="18"/>
      <c r="C67" s="18"/>
      <c r="D67" s="18"/>
      <c r="E67" s="18" t="s">
        <v>2551</v>
      </c>
      <c r="F67" s="18" t="s">
        <v>2266</v>
      </c>
      <c r="G67" s="18" t="s">
        <v>2561</v>
      </c>
      <c r="H67" s="18" t="s">
        <v>2562</v>
      </c>
      <c r="I67" s="18" t="s">
        <v>2305</v>
      </c>
      <c r="J67" s="18" t="s">
        <v>2236</v>
      </c>
      <c r="K67" s="18"/>
      <c r="L67" s="18" t="s">
        <v>2349</v>
      </c>
      <c r="M67" s="23" t="s">
        <v>2368</v>
      </c>
      <c r="N67" s="18"/>
      <c r="O67" s="18"/>
      <c r="P67" s="18"/>
      <c r="Q67" s="18"/>
      <c r="R67" s="18"/>
      <c r="S67" s="18"/>
    </row>
    <row r="68" customFormat="false" ht="46.25" hidden="false" customHeight="false" outlineLevel="0" collapsed="false">
      <c r="A68" s="29" t="s">
        <v>2014</v>
      </c>
      <c r="B68" s="29" t="s">
        <v>2015</v>
      </c>
      <c r="C68" s="29" t="s">
        <v>2446</v>
      </c>
      <c r="D68" s="29" t="s">
        <v>2563</v>
      </c>
      <c r="E68" s="29" t="s">
        <v>2422</v>
      </c>
      <c r="F68" s="29" t="s">
        <v>2276</v>
      </c>
      <c r="G68" s="29" t="s">
        <v>2564</v>
      </c>
      <c r="H68" s="29" t="s">
        <v>2565</v>
      </c>
      <c r="I68" s="29" t="s">
        <v>2235</v>
      </c>
      <c r="J68" s="29" t="s">
        <v>2236</v>
      </c>
      <c r="K68" s="29"/>
      <c r="L68" s="29" t="s">
        <v>2279</v>
      </c>
      <c r="M68" s="29" t="s">
        <v>2372</v>
      </c>
      <c r="N68" s="29"/>
      <c r="O68" s="29"/>
      <c r="P68" s="29"/>
      <c r="Q68" s="29"/>
      <c r="R68" s="29"/>
      <c r="S68" s="29"/>
    </row>
    <row r="69" customFormat="false" ht="23.85" hidden="false" customHeight="false" outlineLevel="0" collapsed="false">
      <c r="A69" s="18" t="s">
        <v>2014</v>
      </c>
      <c r="B69" s="18"/>
      <c r="C69" s="18"/>
      <c r="D69" s="18"/>
      <c r="E69" s="18" t="s">
        <v>2372</v>
      </c>
      <c r="F69" s="18" t="s">
        <v>2323</v>
      </c>
      <c r="G69" s="18" t="s">
        <v>2566</v>
      </c>
      <c r="H69" s="18" t="s">
        <v>2567</v>
      </c>
      <c r="I69" s="18" t="s">
        <v>2242</v>
      </c>
      <c r="J69" s="18" t="s">
        <v>2236</v>
      </c>
      <c r="K69" s="18"/>
      <c r="L69" s="18" t="s">
        <v>2568</v>
      </c>
      <c r="M69" s="20" t="s">
        <v>1064</v>
      </c>
      <c r="N69" s="18" t="s">
        <v>2569</v>
      </c>
      <c r="O69" s="18" t="s">
        <v>2570</v>
      </c>
      <c r="P69" s="18" t="s">
        <v>2571</v>
      </c>
      <c r="Q69" s="18" t="s">
        <v>2572</v>
      </c>
      <c r="R69" s="18" t="s">
        <v>1318</v>
      </c>
      <c r="S69" s="18" t="s">
        <v>2573</v>
      </c>
    </row>
    <row r="70" customFormat="false" ht="23.85" hidden="false" customHeight="false" outlineLevel="0" collapsed="false">
      <c r="A70" s="18" t="s">
        <v>2014</v>
      </c>
      <c r="B70" s="18"/>
      <c r="C70" s="18"/>
      <c r="D70" s="18"/>
      <c r="E70" s="18" t="s">
        <v>2570</v>
      </c>
      <c r="F70" s="18" t="s">
        <v>2266</v>
      </c>
      <c r="G70" s="18" t="s">
        <v>2574</v>
      </c>
      <c r="H70" s="18" t="s">
        <v>2575</v>
      </c>
      <c r="I70" s="18" t="s">
        <v>2235</v>
      </c>
      <c r="J70" s="18" t="s">
        <v>2236</v>
      </c>
      <c r="K70" s="18"/>
      <c r="L70" s="18" t="s">
        <v>2349</v>
      </c>
      <c r="M70" s="23" t="s">
        <v>2368</v>
      </c>
      <c r="N70" s="18"/>
      <c r="O70" s="18"/>
      <c r="P70" s="18"/>
      <c r="Q70" s="18"/>
      <c r="R70" s="18"/>
      <c r="S70" s="18"/>
    </row>
    <row r="71" customFormat="false" ht="23.85" hidden="false" customHeight="false" outlineLevel="0" collapsed="false">
      <c r="A71" s="18" t="s">
        <v>2014</v>
      </c>
      <c r="B71" s="18"/>
      <c r="C71" s="18"/>
      <c r="D71" s="18"/>
      <c r="E71" s="18" t="s">
        <v>2572</v>
      </c>
      <c r="F71" s="18" t="s">
        <v>2266</v>
      </c>
      <c r="G71" s="18" t="s">
        <v>2576</v>
      </c>
      <c r="H71" s="18" t="s">
        <v>2577</v>
      </c>
      <c r="I71" s="18" t="s">
        <v>2311</v>
      </c>
      <c r="J71" s="18" t="s">
        <v>2236</v>
      </c>
      <c r="K71" s="18"/>
      <c r="L71" s="18" t="s">
        <v>2349</v>
      </c>
      <c r="M71" s="23" t="s">
        <v>2272</v>
      </c>
      <c r="N71" s="18"/>
      <c r="O71" s="18"/>
      <c r="P71" s="18"/>
      <c r="Q71" s="18"/>
      <c r="R71" s="18"/>
      <c r="S71" s="18"/>
    </row>
    <row r="72" customFormat="false" ht="23.85" hidden="false" customHeight="false" outlineLevel="0" collapsed="false">
      <c r="A72" s="18" t="s">
        <v>2014</v>
      </c>
      <c r="B72" s="18"/>
      <c r="C72" s="18"/>
      <c r="D72" s="18"/>
      <c r="E72" s="18" t="s">
        <v>2573</v>
      </c>
      <c r="F72" s="18" t="s">
        <v>2266</v>
      </c>
      <c r="G72" s="18" t="s">
        <v>2578</v>
      </c>
      <c r="H72" s="18" t="s">
        <v>2445</v>
      </c>
      <c r="I72" s="18" t="s">
        <v>2269</v>
      </c>
      <c r="J72" s="18" t="s">
        <v>2236</v>
      </c>
      <c r="K72" s="18"/>
      <c r="L72" s="18" t="s">
        <v>2349</v>
      </c>
      <c r="M72" s="27" t="s">
        <v>2299</v>
      </c>
      <c r="N72" s="18"/>
      <c r="O72" s="18"/>
      <c r="P72" s="18"/>
      <c r="Q72" s="18"/>
      <c r="R72" s="18"/>
      <c r="S72" s="18"/>
    </row>
    <row r="73" customFormat="false" ht="46.25" hidden="false" customHeight="false" outlineLevel="0" collapsed="false">
      <c r="A73" s="29" t="s">
        <v>2024</v>
      </c>
      <c r="B73" s="29" t="s">
        <v>2025</v>
      </c>
      <c r="C73" s="29" t="s">
        <v>2465</v>
      </c>
      <c r="D73" s="29" t="s">
        <v>2579</v>
      </c>
      <c r="E73" s="29" t="s">
        <v>2580</v>
      </c>
      <c r="F73" s="29" t="s">
        <v>2524</v>
      </c>
      <c r="G73" s="29" t="s">
        <v>2581</v>
      </c>
      <c r="H73" s="29" t="s">
        <v>2582</v>
      </c>
      <c r="I73" s="29" t="s">
        <v>2242</v>
      </c>
      <c r="J73" s="29" t="s">
        <v>2236</v>
      </c>
      <c r="K73" s="29"/>
      <c r="L73" s="29" t="s">
        <v>2583</v>
      </c>
      <c r="M73" s="29" t="s">
        <v>2447</v>
      </c>
      <c r="N73" s="29"/>
      <c r="O73" s="29"/>
      <c r="P73" s="29"/>
      <c r="Q73" s="29"/>
      <c r="R73" s="29"/>
      <c r="S73" s="29"/>
    </row>
    <row r="74" customFormat="false" ht="23.85" hidden="false" customHeight="false" outlineLevel="0" collapsed="false">
      <c r="A74" s="18" t="s">
        <v>2024</v>
      </c>
      <c r="B74" s="18"/>
      <c r="C74" s="18"/>
      <c r="D74" s="18"/>
      <c r="E74" s="18" t="s">
        <v>2447</v>
      </c>
      <c r="F74" s="18" t="s">
        <v>2266</v>
      </c>
      <c r="G74" s="18" t="s">
        <v>2584</v>
      </c>
      <c r="H74" s="18" t="s">
        <v>2585</v>
      </c>
      <c r="I74" s="18" t="s">
        <v>2305</v>
      </c>
      <c r="J74" s="18" t="s">
        <v>2236</v>
      </c>
      <c r="K74" s="18"/>
      <c r="L74" s="18" t="s">
        <v>2586</v>
      </c>
      <c r="M74" s="23" t="s">
        <v>2368</v>
      </c>
      <c r="N74" s="18" t="s">
        <v>2587</v>
      </c>
      <c r="O74" s="23" t="s">
        <v>2272</v>
      </c>
      <c r="P74" s="18"/>
      <c r="Q74" s="18"/>
      <c r="R74" s="18"/>
      <c r="S74" s="18"/>
    </row>
    <row r="75" customFormat="false" ht="23.85" hidden="false" customHeight="false" outlineLevel="0" collapsed="false">
      <c r="A75" s="29" t="s">
        <v>2034</v>
      </c>
      <c r="B75" s="29" t="s">
        <v>2035</v>
      </c>
      <c r="C75" s="29" t="s">
        <v>2465</v>
      </c>
      <c r="D75" s="29" t="s">
        <v>2533</v>
      </c>
      <c r="E75" s="29" t="s">
        <v>2588</v>
      </c>
      <c r="F75" s="29" t="s">
        <v>2266</v>
      </c>
      <c r="G75" s="29" t="s">
        <v>2589</v>
      </c>
      <c r="H75" s="29" t="s">
        <v>2590</v>
      </c>
      <c r="I75" s="29" t="s">
        <v>2242</v>
      </c>
      <c r="J75" s="29" t="s">
        <v>2236</v>
      </c>
      <c r="K75" s="29"/>
      <c r="L75" s="29" t="s">
        <v>2591</v>
      </c>
      <c r="M75" s="30" t="s">
        <v>1064</v>
      </c>
      <c r="N75" s="29" t="s">
        <v>2592</v>
      </c>
      <c r="O75" s="29" t="s">
        <v>2593</v>
      </c>
      <c r="P75" s="29"/>
      <c r="Q75" s="29"/>
      <c r="R75" s="29"/>
      <c r="S75" s="29"/>
    </row>
    <row r="76" customFormat="false" ht="23.85" hidden="false" customHeight="false" outlineLevel="0" collapsed="false">
      <c r="A76" s="18" t="s">
        <v>2034</v>
      </c>
      <c r="B76" s="18"/>
      <c r="C76" s="18"/>
      <c r="D76" s="18"/>
      <c r="E76" s="18" t="s">
        <v>2593</v>
      </c>
      <c r="F76" s="18" t="s">
        <v>2266</v>
      </c>
      <c r="G76" s="18" t="s">
        <v>2594</v>
      </c>
      <c r="H76" s="18" t="s">
        <v>2595</v>
      </c>
      <c r="I76" s="18" t="s">
        <v>2305</v>
      </c>
      <c r="J76" s="18" t="s">
        <v>2236</v>
      </c>
      <c r="K76" s="18"/>
      <c r="L76" s="18" t="s">
        <v>2349</v>
      </c>
      <c r="M76" s="23" t="s">
        <v>2368</v>
      </c>
      <c r="N76" s="18"/>
      <c r="O76" s="18"/>
      <c r="P76" s="18"/>
      <c r="Q76" s="18"/>
      <c r="R76" s="18"/>
      <c r="S76" s="18"/>
    </row>
    <row r="77" customFormat="false" ht="46.25" hidden="false" customHeight="false" outlineLevel="0" collapsed="false">
      <c r="A77" s="29" t="s">
        <v>2044</v>
      </c>
      <c r="B77" s="29" t="s">
        <v>2045</v>
      </c>
      <c r="C77" s="29" t="s">
        <v>2596</v>
      </c>
      <c r="D77" s="29" t="s">
        <v>2597</v>
      </c>
      <c r="E77" s="29" t="s">
        <v>2598</v>
      </c>
      <c r="F77" s="29" t="s">
        <v>2266</v>
      </c>
      <c r="G77" s="29" t="s">
        <v>2599</v>
      </c>
      <c r="H77" s="29" t="s">
        <v>2600</v>
      </c>
      <c r="I77" s="29" t="s">
        <v>2305</v>
      </c>
      <c r="J77" s="29" t="s">
        <v>2236</v>
      </c>
      <c r="K77" s="29"/>
      <c r="L77" s="29" t="s">
        <v>2349</v>
      </c>
      <c r="M77" s="29" t="s">
        <v>2601</v>
      </c>
      <c r="N77" s="29"/>
      <c r="O77" s="29"/>
      <c r="P77" s="29"/>
      <c r="Q77" s="29"/>
      <c r="R77" s="29"/>
      <c r="S77" s="29"/>
    </row>
    <row r="78" customFormat="false" ht="23.85" hidden="false" customHeight="false" outlineLevel="0" collapsed="false">
      <c r="A78" s="18" t="s">
        <v>2044</v>
      </c>
      <c r="B78" s="18"/>
      <c r="C78" s="18"/>
      <c r="D78" s="18"/>
      <c r="E78" s="18" t="s">
        <v>2601</v>
      </c>
      <c r="F78" s="18" t="s">
        <v>2232</v>
      </c>
      <c r="G78" s="18" t="s">
        <v>2602</v>
      </c>
      <c r="H78" s="18" t="s">
        <v>2603</v>
      </c>
      <c r="I78" s="18" t="s">
        <v>2288</v>
      </c>
      <c r="J78" s="18" t="s">
        <v>2262</v>
      </c>
      <c r="K78" s="18"/>
      <c r="L78" s="18" t="s">
        <v>2604</v>
      </c>
      <c r="M78" s="23" t="s">
        <v>2368</v>
      </c>
      <c r="N78" s="18" t="s">
        <v>2605</v>
      </c>
      <c r="O78" s="27" t="s">
        <v>2299</v>
      </c>
      <c r="P78" s="18"/>
      <c r="Q78" s="18"/>
      <c r="R78" s="18"/>
      <c r="S78" s="18"/>
    </row>
    <row r="79" customFormat="false" ht="35.05" hidden="false" customHeight="false" outlineLevel="0" collapsed="false">
      <c r="A79" s="29" t="s">
        <v>2054</v>
      </c>
      <c r="B79" s="29" t="s">
        <v>2055</v>
      </c>
      <c r="C79" s="29" t="s">
        <v>2606</v>
      </c>
      <c r="D79" s="29" t="s">
        <v>2607</v>
      </c>
      <c r="E79" s="29" t="s">
        <v>2608</v>
      </c>
      <c r="F79" s="29" t="s">
        <v>2323</v>
      </c>
      <c r="G79" s="29" t="s">
        <v>2609</v>
      </c>
      <c r="H79" s="29"/>
      <c r="I79" s="29" t="s">
        <v>2342</v>
      </c>
      <c r="J79" s="29" t="s">
        <v>2236</v>
      </c>
      <c r="K79" s="29"/>
      <c r="L79" s="29" t="s">
        <v>2610</v>
      </c>
      <c r="M79" s="30" t="s">
        <v>1064</v>
      </c>
      <c r="N79" s="29" t="s">
        <v>2611</v>
      </c>
      <c r="O79" s="29" t="s">
        <v>2612</v>
      </c>
      <c r="P79" s="29" t="s">
        <v>2613</v>
      </c>
      <c r="Q79" s="29" t="s">
        <v>2614</v>
      </c>
      <c r="R79" s="29"/>
      <c r="S79" s="29"/>
    </row>
    <row r="80" customFormat="false" ht="23.85" hidden="false" customHeight="false" outlineLevel="0" collapsed="false">
      <c r="A80" s="18" t="s">
        <v>2054</v>
      </c>
      <c r="B80" s="18"/>
      <c r="C80" s="18"/>
      <c r="D80" s="18"/>
      <c r="E80" s="18" t="s">
        <v>2612</v>
      </c>
      <c r="F80" s="18" t="s">
        <v>2276</v>
      </c>
      <c r="G80" s="18" t="s">
        <v>2615</v>
      </c>
      <c r="H80" s="18" t="s">
        <v>2616</v>
      </c>
      <c r="I80" s="18" t="s">
        <v>2242</v>
      </c>
      <c r="J80" s="18" t="s">
        <v>2236</v>
      </c>
      <c r="K80" s="18"/>
      <c r="L80" s="18" t="s">
        <v>2617</v>
      </c>
      <c r="M80" s="23" t="s">
        <v>2368</v>
      </c>
      <c r="N80" s="18" t="s">
        <v>2618</v>
      </c>
      <c r="O80" s="23" t="s">
        <v>2272</v>
      </c>
      <c r="P80" s="18"/>
      <c r="Q80" s="18"/>
      <c r="R80" s="18"/>
      <c r="S80" s="18"/>
    </row>
    <row r="81" customFormat="false" ht="23.85" hidden="false" customHeight="false" outlineLevel="0" collapsed="false">
      <c r="A81" s="18" t="s">
        <v>2054</v>
      </c>
      <c r="B81" s="18"/>
      <c r="C81" s="18"/>
      <c r="D81" s="18"/>
      <c r="E81" s="18" t="s">
        <v>2614</v>
      </c>
      <c r="F81" s="18" t="s">
        <v>2266</v>
      </c>
      <c r="G81" s="18" t="s">
        <v>2619</v>
      </c>
      <c r="H81" s="18" t="s">
        <v>2620</v>
      </c>
      <c r="I81" s="18" t="s">
        <v>2305</v>
      </c>
      <c r="J81" s="18" t="s">
        <v>2236</v>
      </c>
      <c r="K81" s="18"/>
      <c r="L81" s="18" t="s">
        <v>2349</v>
      </c>
      <c r="M81" s="27" t="s">
        <v>2299</v>
      </c>
      <c r="N81" s="18"/>
      <c r="O81" s="18"/>
      <c r="P81" s="18"/>
      <c r="Q81" s="18"/>
      <c r="R81" s="18"/>
      <c r="S81" s="18"/>
    </row>
    <row r="82" customFormat="false" ht="35.05" hidden="false" customHeight="false" outlineLevel="0" collapsed="false">
      <c r="A82" s="29" t="s">
        <v>2064</v>
      </c>
      <c r="B82" s="29" t="s">
        <v>2065</v>
      </c>
      <c r="C82" s="29" t="s">
        <v>2621</v>
      </c>
      <c r="D82" s="29" t="s">
        <v>2622</v>
      </c>
      <c r="E82" s="29" t="s">
        <v>2339</v>
      </c>
      <c r="F82" s="29" t="s">
        <v>2323</v>
      </c>
      <c r="G82" s="29" t="s">
        <v>2623</v>
      </c>
      <c r="H82" s="29" t="s">
        <v>2624</v>
      </c>
      <c r="I82" s="29" t="s">
        <v>2235</v>
      </c>
      <c r="J82" s="29" t="s">
        <v>2236</v>
      </c>
      <c r="K82" s="29"/>
      <c r="L82" s="29" t="s">
        <v>1434</v>
      </c>
      <c r="M82" s="29" t="s">
        <v>2625</v>
      </c>
      <c r="N82" s="29" t="s">
        <v>2626</v>
      </c>
      <c r="O82" s="29" t="s">
        <v>2625</v>
      </c>
      <c r="P82" s="29" t="s">
        <v>1445</v>
      </c>
      <c r="Q82" s="29" t="s">
        <v>2625</v>
      </c>
      <c r="R82" s="29"/>
      <c r="S82" s="29"/>
    </row>
    <row r="83" customFormat="false" ht="23.85" hidden="false" customHeight="false" outlineLevel="0" collapsed="false">
      <c r="A83" s="18" t="s">
        <v>2064</v>
      </c>
      <c r="B83" s="18"/>
      <c r="C83" s="18"/>
      <c r="D83" s="18"/>
      <c r="E83" s="18" t="s">
        <v>2625</v>
      </c>
      <c r="F83" s="18" t="s">
        <v>2266</v>
      </c>
      <c r="G83" s="18" t="s">
        <v>2627</v>
      </c>
      <c r="H83" s="18" t="s">
        <v>2628</v>
      </c>
      <c r="I83" s="18" t="s">
        <v>2235</v>
      </c>
      <c r="J83" s="18" t="s">
        <v>2236</v>
      </c>
      <c r="K83" s="18"/>
      <c r="L83" s="18" t="s">
        <v>2349</v>
      </c>
      <c r="M83" s="18" t="s">
        <v>2629</v>
      </c>
      <c r="N83" s="18"/>
      <c r="O83" s="18"/>
      <c r="P83" s="18"/>
      <c r="Q83" s="18"/>
      <c r="R83" s="18"/>
      <c r="S83" s="18"/>
    </row>
    <row r="84" customFormat="false" ht="23.85" hidden="false" customHeight="false" outlineLevel="0" collapsed="false">
      <c r="A84" s="18" t="s">
        <v>2064</v>
      </c>
      <c r="B84" s="18"/>
      <c r="C84" s="18"/>
      <c r="D84" s="18"/>
      <c r="E84" s="18" t="s">
        <v>2629</v>
      </c>
      <c r="F84" s="18" t="s">
        <v>2323</v>
      </c>
      <c r="G84" s="18" t="s">
        <v>2630</v>
      </c>
      <c r="H84" s="18"/>
      <c r="I84" s="18" t="s">
        <v>2342</v>
      </c>
      <c r="J84" s="18" t="s">
        <v>2236</v>
      </c>
      <c r="K84" s="18"/>
      <c r="L84" s="18" t="s">
        <v>2631</v>
      </c>
      <c r="M84" s="18" t="s">
        <v>2632</v>
      </c>
      <c r="N84" s="18" t="s">
        <v>2633</v>
      </c>
      <c r="O84" s="18" t="s">
        <v>2634</v>
      </c>
      <c r="P84" s="18" t="s">
        <v>2635</v>
      </c>
      <c r="Q84" s="18" t="s">
        <v>2634</v>
      </c>
      <c r="R84" s="18"/>
      <c r="S84" s="18"/>
    </row>
    <row r="85" customFormat="false" ht="35.05" hidden="false" customHeight="false" outlineLevel="0" collapsed="false">
      <c r="A85" s="18" t="s">
        <v>2064</v>
      </c>
      <c r="B85" s="18"/>
      <c r="C85" s="18"/>
      <c r="D85" s="18"/>
      <c r="E85" s="18" t="s">
        <v>2634</v>
      </c>
      <c r="F85" s="18" t="s">
        <v>2266</v>
      </c>
      <c r="G85" s="18" t="s">
        <v>2636</v>
      </c>
      <c r="H85" s="18" t="s">
        <v>2637</v>
      </c>
      <c r="I85" s="18" t="s">
        <v>2235</v>
      </c>
      <c r="J85" s="18" t="s">
        <v>2236</v>
      </c>
      <c r="K85" s="18"/>
      <c r="L85" s="18" t="s">
        <v>2349</v>
      </c>
      <c r="M85" s="23" t="s">
        <v>2272</v>
      </c>
      <c r="N85" s="18"/>
      <c r="O85" s="18"/>
      <c r="P85" s="18"/>
      <c r="Q85" s="18"/>
      <c r="R85" s="18"/>
      <c r="S85" s="18"/>
    </row>
    <row r="86" customFormat="false" ht="23.85" hidden="false" customHeight="false" outlineLevel="0" collapsed="false">
      <c r="A86" s="18" t="s">
        <v>2064</v>
      </c>
      <c r="B86" s="18"/>
      <c r="C86" s="18"/>
      <c r="D86" s="18"/>
      <c r="E86" s="18" t="s">
        <v>2632</v>
      </c>
      <c r="F86" s="18" t="s">
        <v>2323</v>
      </c>
      <c r="G86" s="18" t="s">
        <v>2638</v>
      </c>
      <c r="H86" s="18"/>
      <c r="I86" s="18" t="s">
        <v>2397</v>
      </c>
      <c r="J86" s="18" t="s">
        <v>2236</v>
      </c>
      <c r="K86" s="18"/>
      <c r="L86" s="18" t="s">
        <v>2639</v>
      </c>
      <c r="M86" s="23" t="s">
        <v>2368</v>
      </c>
      <c r="N86" s="18" t="s">
        <v>2640</v>
      </c>
      <c r="O86" s="27" t="s">
        <v>2299</v>
      </c>
      <c r="P86" s="18"/>
      <c r="Q86" s="18"/>
      <c r="R86" s="18"/>
      <c r="S86" s="18"/>
    </row>
    <row r="87" customFormat="false" ht="23.85" hidden="false" customHeight="false" outlineLevel="0" collapsed="false">
      <c r="A87" s="29" t="s">
        <v>2075</v>
      </c>
      <c r="B87" s="29" t="s">
        <v>2076</v>
      </c>
      <c r="C87" s="29" t="s">
        <v>2235</v>
      </c>
      <c r="D87" s="29" t="s">
        <v>2641</v>
      </c>
      <c r="E87" s="29" t="s">
        <v>2642</v>
      </c>
      <c r="F87" s="29" t="s">
        <v>2266</v>
      </c>
      <c r="G87" s="29" t="s">
        <v>2643</v>
      </c>
      <c r="H87" s="29" t="s">
        <v>2644</v>
      </c>
      <c r="I87" s="29" t="s">
        <v>2235</v>
      </c>
      <c r="J87" s="29" t="s">
        <v>2236</v>
      </c>
      <c r="K87" s="29"/>
      <c r="L87" s="29" t="s">
        <v>2645</v>
      </c>
      <c r="M87" s="30" t="s">
        <v>1064</v>
      </c>
      <c r="N87" s="29" t="s">
        <v>2646</v>
      </c>
      <c r="O87" s="29" t="s">
        <v>2647</v>
      </c>
      <c r="P87" s="29"/>
      <c r="Q87" s="29"/>
      <c r="R87" s="29"/>
      <c r="S87" s="29"/>
    </row>
    <row r="88" customFormat="false" ht="23.85" hidden="false" customHeight="false" outlineLevel="0" collapsed="false">
      <c r="A88" s="18" t="s">
        <v>2075</v>
      </c>
      <c r="B88" s="18"/>
      <c r="C88" s="18"/>
      <c r="D88" s="18"/>
      <c r="E88" s="18" t="s">
        <v>2647</v>
      </c>
      <c r="F88" s="18" t="s">
        <v>2266</v>
      </c>
      <c r="G88" s="18" t="s">
        <v>2648</v>
      </c>
      <c r="H88" s="18" t="s">
        <v>2649</v>
      </c>
      <c r="I88" s="18" t="s">
        <v>2305</v>
      </c>
      <c r="J88" s="18" t="s">
        <v>2236</v>
      </c>
      <c r="K88" s="18"/>
      <c r="L88" s="18" t="s">
        <v>2650</v>
      </c>
      <c r="M88" s="23" t="s">
        <v>2368</v>
      </c>
      <c r="N88" s="18" t="s">
        <v>2651</v>
      </c>
      <c r="O88" s="27" t="s">
        <v>2299</v>
      </c>
      <c r="P88" s="18"/>
      <c r="Q88" s="18"/>
      <c r="R88" s="18"/>
      <c r="S88" s="18"/>
    </row>
    <row r="89" customFormat="false" ht="23.85" hidden="false" customHeight="false" outlineLevel="0" collapsed="false">
      <c r="A89" s="29" t="s">
        <v>2085</v>
      </c>
      <c r="B89" s="29" t="s">
        <v>2086</v>
      </c>
      <c r="C89" s="29" t="s">
        <v>2305</v>
      </c>
      <c r="D89" s="29" t="s">
        <v>2652</v>
      </c>
      <c r="E89" s="29" t="s">
        <v>2653</v>
      </c>
      <c r="F89" s="29" t="s">
        <v>2276</v>
      </c>
      <c r="G89" s="29" t="s">
        <v>2654</v>
      </c>
      <c r="H89" s="29" t="s">
        <v>2655</v>
      </c>
      <c r="I89" s="29" t="s">
        <v>2242</v>
      </c>
      <c r="J89" s="29" t="s">
        <v>2236</v>
      </c>
      <c r="K89" s="29"/>
      <c r="L89" s="29" t="s">
        <v>2279</v>
      </c>
      <c r="M89" s="29" t="s">
        <v>2656</v>
      </c>
      <c r="N89" s="29"/>
      <c r="O89" s="29"/>
      <c r="P89" s="29"/>
      <c r="Q89" s="29"/>
      <c r="R89" s="29"/>
      <c r="S89" s="29"/>
    </row>
    <row r="90" customFormat="false" ht="23.85" hidden="false" customHeight="false" outlineLevel="0" collapsed="false">
      <c r="A90" s="18" t="s">
        <v>2085</v>
      </c>
      <c r="B90" s="18"/>
      <c r="C90" s="18"/>
      <c r="D90" s="18"/>
      <c r="E90" s="18" t="s">
        <v>2656</v>
      </c>
      <c r="F90" s="18" t="s">
        <v>2276</v>
      </c>
      <c r="G90" s="18" t="s">
        <v>2657</v>
      </c>
      <c r="H90" s="18" t="s">
        <v>2658</v>
      </c>
      <c r="I90" s="18" t="s">
        <v>2242</v>
      </c>
      <c r="J90" s="18" t="s">
        <v>2236</v>
      </c>
      <c r="K90" s="18"/>
      <c r="L90" s="18" t="s">
        <v>2659</v>
      </c>
      <c r="M90" s="20" t="s">
        <v>1064</v>
      </c>
      <c r="N90" s="18" t="s">
        <v>2660</v>
      </c>
      <c r="O90" s="27" t="s">
        <v>2299</v>
      </c>
      <c r="P90" s="18"/>
      <c r="Q90" s="18"/>
      <c r="R90" s="18"/>
      <c r="S90" s="18"/>
    </row>
    <row r="91" customFormat="false" ht="35.05" hidden="false" customHeight="false" outlineLevel="0" collapsed="false">
      <c r="A91" s="29" t="s">
        <v>2095</v>
      </c>
      <c r="B91" s="29" t="s">
        <v>2096</v>
      </c>
      <c r="C91" s="29" t="s">
        <v>2661</v>
      </c>
      <c r="D91" s="29" t="s">
        <v>2662</v>
      </c>
      <c r="E91" s="29" t="s">
        <v>2275</v>
      </c>
      <c r="F91" s="29" t="s">
        <v>2276</v>
      </c>
      <c r="G91" s="29" t="s">
        <v>2663</v>
      </c>
      <c r="H91" s="29" t="s">
        <v>2664</v>
      </c>
      <c r="I91" s="29" t="s">
        <v>2661</v>
      </c>
      <c r="J91" s="29" t="s">
        <v>2236</v>
      </c>
      <c r="K91" s="29"/>
      <c r="L91" s="29" t="s">
        <v>2665</v>
      </c>
      <c r="M91" s="30" t="s">
        <v>1064</v>
      </c>
      <c r="N91" s="29" t="s">
        <v>2666</v>
      </c>
      <c r="O91" s="29" t="s">
        <v>2667</v>
      </c>
      <c r="P91" s="29"/>
      <c r="Q91" s="29"/>
      <c r="R91" s="29"/>
      <c r="S91" s="29"/>
    </row>
    <row r="92" customFormat="false" ht="23.85" hidden="false" customHeight="false" outlineLevel="0" collapsed="false">
      <c r="A92" s="18" t="s">
        <v>2095</v>
      </c>
      <c r="B92" s="18"/>
      <c r="C92" s="18"/>
      <c r="D92" s="18"/>
      <c r="E92" s="18" t="s">
        <v>2667</v>
      </c>
      <c r="F92" s="18" t="s">
        <v>2266</v>
      </c>
      <c r="G92" s="18" t="s">
        <v>2668</v>
      </c>
      <c r="H92" s="18" t="s">
        <v>2669</v>
      </c>
      <c r="I92" s="18" t="s">
        <v>2305</v>
      </c>
      <c r="J92" s="18" t="s">
        <v>2236</v>
      </c>
      <c r="K92" s="18"/>
      <c r="L92" s="18" t="s">
        <v>2349</v>
      </c>
      <c r="M92" s="23" t="s">
        <v>2368</v>
      </c>
      <c r="N92" s="18"/>
      <c r="O92" s="18"/>
      <c r="P92" s="18"/>
      <c r="Q92" s="18"/>
      <c r="R92" s="18"/>
      <c r="S92" s="18"/>
    </row>
    <row r="93" customFormat="false" ht="46.25" hidden="false" customHeight="false" outlineLevel="0" collapsed="false">
      <c r="A93" s="29" t="s">
        <v>2104</v>
      </c>
      <c r="B93" s="29" t="s">
        <v>2105</v>
      </c>
      <c r="C93" s="29" t="s">
        <v>2670</v>
      </c>
      <c r="D93" s="29" t="s">
        <v>2671</v>
      </c>
      <c r="E93" s="29" t="s">
        <v>2672</v>
      </c>
      <c r="F93" s="29" t="s">
        <v>2524</v>
      </c>
      <c r="G93" s="29" t="s">
        <v>2673</v>
      </c>
      <c r="H93" s="29" t="s">
        <v>2674</v>
      </c>
      <c r="I93" s="29" t="s">
        <v>2527</v>
      </c>
      <c r="J93" s="29" t="s">
        <v>2236</v>
      </c>
      <c r="K93" s="29"/>
      <c r="L93" s="29" t="s">
        <v>2675</v>
      </c>
      <c r="M93" s="30" t="s">
        <v>1064</v>
      </c>
      <c r="N93" s="29" t="s">
        <v>2676</v>
      </c>
      <c r="O93" s="29" t="s">
        <v>2447</v>
      </c>
      <c r="P93" s="29"/>
      <c r="Q93" s="29"/>
      <c r="R93" s="29"/>
      <c r="S93" s="29"/>
    </row>
    <row r="94" customFormat="false" ht="23.85" hidden="false" customHeight="false" outlineLevel="0" collapsed="false">
      <c r="A94" s="18" t="s">
        <v>2104</v>
      </c>
      <c r="B94" s="18"/>
      <c r="C94" s="18"/>
      <c r="D94" s="18"/>
      <c r="E94" s="18" t="s">
        <v>2447</v>
      </c>
      <c r="F94" s="18" t="s">
        <v>2266</v>
      </c>
      <c r="G94" s="18" t="s">
        <v>2677</v>
      </c>
      <c r="H94" s="18" t="s">
        <v>2678</v>
      </c>
      <c r="I94" s="18" t="s">
        <v>2235</v>
      </c>
      <c r="J94" s="18" t="s">
        <v>2236</v>
      </c>
      <c r="K94" s="18"/>
      <c r="L94" s="18" t="s">
        <v>2349</v>
      </c>
      <c r="M94" s="23" t="s">
        <v>2272</v>
      </c>
      <c r="N94" s="18" t="s">
        <v>2679</v>
      </c>
      <c r="O94" s="27" t="s">
        <v>2299</v>
      </c>
      <c r="P94" s="18"/>
      <c r="Q94" s="18"/>
      <c r="R94" s="18"/>
      <c r="S94" s="18"/>
    </row>
    <row r="95" customFormat="false" ht="35.05" hidden="false" customHeight="false" outlineLevel="0" collapsed="false">
      <c r="A95" s="29" t="s">
        <v>2114</v>
      </c>
      <c r="B95" s="29" t="s">
        <v>2115</v>
      </c>
      <c r="C95" s="29" t="s">
        <v>2596</v>
      </c>
      <c r="D95" s="29" t="s">
        <v>2680</v>
      </c>
      <c r="E95" s="29" t="s">
        <v>2681</v>
      </c>
      <c r="F95" s="29" t="s">
        <v>2266</v>
      </c>
      <c r="G95" s="29" t="s">
        <v>2682</v>
      </c>
      <c r="H95" s="29" t="s">
        <v>2683</v>
      </c>
      <c r="I95" s="29" t="s">
        <v>2305</v>
      </c>
      <c r="J95" s="29" t="s">
        <v>2236</v>
      </c>
      <c r="K95" s="29"/>
      <c r="L95" s="29" t="s">
        <v>2349</v>
      </c>
      <c r="M95" s="29" t="s">
        <v>2684</v>
      </c>
      <c r="N95" s="29"/>
      <c r="O95" s="29"/>
      <c r="P95" s="29"/>
      <c r="Q95" s="29"/>
      <c r="R95" s="29"/>
      <c r="S95" s="29"/>
    </row>
    <row r="96" customFormat="false" ht="23.85" hidden="false" customHeight="false" outlineLevel="0" collapsed="false">
      <c r="A96" s="18" t="s">
        <v>2114</v>
      </c>
      <c r="B96" s="18"/>
      <c r="C96" s="18"/>
      <c r="D96" s="18"/>
      <c r="E96" s="18" t="s">
        <v>2684</v>
      </c>
      <c r="F96" s="18" t="s">
        <v>2232</v>
      </c>
      <c r="G96" s="18" t="s">
        <v>2685</v>
      </c>
      <c r="H96" s="18" t="s">
        <v>2686</v>
      </c>
      <c r="I96" s="18" t="s">
        <v>2384</v>
      </c>
      <c r="J96" s="18" t="s">
        <v>2236</v>
      </c>
      <c r="K96" s="18"/>
      <c r="L96" s="18" t="s">
        <v>2349</v>
      </c>
      <c r="M96" s="23" t="s">
        <v>2272</v>
      </c>
      <c r="N96" s="18"/>
      <c r="O96" s="18"/>
      <c r="P96" s="18"/>
      <c r="Q96" s="18"/>
      <c r="R96" s="18"/>
      <c r="S96" s="18"/>
    </row>
    <row r="97" customFormat="false" ht="35.05" hidden="false" customHeight="false" outlineLevel="0" collapsed="false">
      <c r="A97" s="29" t="s">
        <v>2123</v>
      </c>
      <c r="B97" s="29" t="s">
        <v>2124</v>
      </c>
      <c r="C97" s="29" t="s">
        <v>2687</v>
      </c>
      <c r="D97" s="29" t="s">
        <v>2688</v>
      </c>
      <c r="E97" s="29" t="s">
        <v>2689</v>
      </c>
      <c r="F97" s="29" t="s">
        <v>2276</v>
      </c>
      <c r="G97" s="29" t="s">
        <v>2690</v>
      </c>
      <c r="H97" s="29" t="s">
        <v>2691</v>
      </c>
      <c r="I97" s="29" t="s">
        <v>2305</v>
      </c>
      <c r="J97" s="29" t="s">
        <v>2236</v>
      </c>
      <c r="K97" s="29"/>
      <c r="L97" s="29" t="s">
        <v>2692</v>
      </c>
      <c r="M97" s="29" t="s">
        <v>2693</v>
      </c>
      <c r="N97" s="29" t="s">
        <v>2694</v>
      </c>
      <c r="O97" s="31" t="s">
        <v>2272</v>
      </c>
      <c r="P97" s="29"/>
      <c r="Q97" s="29"/>
      <c r="R97" s="29"/>
      <c r="S97" s="29"/>
    </row>
    <row r="98" customFormat="false" ht="23.85" hidden="false" customHeight="false" outlineLevel="0" collapsed="false">
      <c r="A98" s="18" t="s">
        <v>2123</v>
      </c>
      <c r="B98" s="18"/>
      <c r="C98" s="18"/>
      <c r="D98" s="18"/>
      <c r="E98" s="18" t="s">
        <v>2693</v>
      </c>
      <c r="F98" s="18" t="s">
        <v>2266</v>
      </c>
      <c r="G98" s="18" t="s">
        <v>2695</v>
      </c>
      <c r="H98" s="18" t="s">
        <v>2696</v>
      </c>
      <c r="I98" s="18" t="s">
        <v>2235</v>
      </c>
      <c r="J98" s="18" t="s">
        <v>2236</v>
      </c>
      <c r="K98" s="18"/>
      <c r="L98" s="18" t="s">
        <v>2697</v>
      </c>
      <c r="M98" s="20" t="s">
        <v>1064</v>
      </c>
      <c r="N98" s="18" t="s">
        <v>2698</v>
      </c>
      <c r="O98" s="23" t="s">
        <v>2272</v>
      </c>
      <c r="P98" s="18"/>
      <c r="Q98" s="18"/>
      <c r="R98" s="18"/>
      <c r="S98" s="18"/>
    </row>
    <row r="99" customFormat="false" ht="35.05" hidden="false" customHeight="false" outlineLevel="0" collapsed="false">
      <c r="A99" s="29" t="s">
        <v>2133</v>
      </c>
      <c r="B99" s="29" t="s">
        <v>2134</v>
      </c>
      <c r="C99" s="29" t="s">
        <v>2699</v>
      </c>
      <c r="D99" s="29" t="s">
        <v>2700</v>
      </c>
      <c r="E99" s="29" t="s">
        <v>2701</v>
      </c>
      <c r="F99" s="29" t="s">
        <v>2276</v>
      </c>
      <c r="G99" s="29" t="s">
        <v>2702</v>
      </c>
      <c r="H99" s="29" t="s">
        <v>2703</v>
      </c>
      <c r="I99" s="29" t="s">
        <v>2305</v>
      </c>
      <c r="J99" s="29" t="s">
        <v>2236</v>
      </c>
      <c r="K99" s="29"/>
      <c r="L99" s="29" t="s">
        <v>2704</v>
      </c>
      <c r="M99" s="29" t="s">
        <v>1641</v>
      </c>
      <c r="N99" s="29"/>
      <c r="O99" s="29"/>
      <c r="P99" s="29"/>
      <c r="Q99" s="29"/>
      <c r="R99" s="29"/>
      <c r="S99" s="29"/>
    </row>
    <row r="100" customFormat="false" ht="23.85" hidden="false" customHeight="false" outlineLevel="0" collapsed="false">
      <c r="A100" s="18" t="s">
        <v>2133</v>
      </c>
      <c r="B100" s="18"/>
      <c r="C100" s="18"/>
      <c r="D100" s="18"/>
      <c r="E100" s="18" t="s">
        <v>1641</v>
      </c>
      <c r="F100" s="18" t="s">
        <v>2266</v>
      </c>
      <c r="G100" s="18" t="s">
        <v>2705</v>
      </c>
      <c r="H100" s="18" t="s">
        <v>2706</v>
      </c>
      <c r="I100" s="18" t="s">
        <v>2305</v>
      </c>
      <c r="J100" s="18" t="s">
        <v>2236</v>
      </c>
      <c r="K100" s="18"/>
      <c r="L100" s="18" t="s">
        <v>2349</v>
      </c>
      <c r="M100" s="18" t="s">
        <v>2601</v>
      </c>
      <c r="N100" s="18"/>
      <c r="O100" s="18"/>
      <c r="P100" s="18"/>
      <c r="Q100" s="18"/>
      <c r="R100" s="18"/>
      <c r="S100" s="18"/>
    </row>
    <row r="101" customFormat="false" ht="23.85" hidden="false" customHeight="false" outlineLevel="0" collapsed="false">
      <c r="A101" s="18" t="s">
        <v>2133</v>
      </c>
      <c r="B101" s="18"/>
      <c r="C101" s="18"/>
      <c r="D101" s="18"/>
      <c r="E101" s="18" t="s">
        <v>2601</v>
      </c>
      <c r="F101" s="18" t="s">
        <v>2266</v>
      </c>
      <c r="G101" s="18" t="s">
        <v>2707</v>
      </c>
      <c r="H101" s="18" t="s">
        <v>2708</v>
      </c>
      <c r="I101" s="18" t="s">
        <v>2269</v>
      </c>
      <c r="J101" s="18" t="s">
        <v>2236</v>
      </c>
      <c r="K101" s="18"/>
      <c r="L101" s="18" t="s">
        <v>2349</v>
      </c>
      <c r="M101" s="18" t="s">
        <v>2709</v>
      </c>
      <c r="N101" s="18"/>
      <c r="O101" s="18"/>
      <c r="P101" s="18"/>
      <c r="Q101" s="18"/>
      <c r="R101" s="18"/>
      <c r="S101" s="18"/>
    </row>
    <row r="102" customFormat="false" ht="23.85" hidden="false" customHeight="false" outlineLevel="0" collapsed="false">
      <c r="A102" s="18" t="s">
        <v>2133</v>
      </c>
      <c r="B102" s="18"/>
      <c r="C102" s="18"/>
      <c r="D102" s="18"/>
      <c r="E102" s="18" t="s">
        <v>2709</v>
      </c>
      <c r="F102" s="18" t="s">
        <v>2232</v>
      </c>
      <c r="G102" s="18" t="s">
        <v>2710</v>
      </c>
      <c r="H102" s="18" t="s">
        <v>2711</v>
      </c>
      <c r="I102" s="18" t="s">
        <v>2261</v>
      </c>
      <c r="J102" s="18" t="s">
        <v>2712</v>
      </c>
      <c r="K102" s="18"/>
      <c r="L102" s="18" t="s">
        <v>2713</v>
      </c>
      <c r="M102" s="20" t="s">
        <v>1064</v>
      </c>
      <c r="N102" s="18" t="s">
        <v>2714</v>
      </c>
      <c r="O102" s="23" t="s">
        <v>2368</v>
      </c>
      <c r="P102" s="18"/>
      <c r="Q102" s="18"/>
      <c r="R102" s="18"/>
      <c r="S102" s="18"/>
    </row>
    <row r="103" customFormat="false" ht="35.05" hidden="false" customHeight="false" outlineLevel="0" collapsed="false">
      <c r="A103" s="29" t="s">
        <v>2143</v>
      </c>
      <c r="B103" s="29" t="s">
        <v>2144</v>
      </c>
      <c r="C103" s="29" t="s">
        <v>2715</v>
      </c>
      <c r="D103" s="29" t="s">
        <v>2716</v>
      </c>
      <c r="E103" s="29" t="s">
        <v>2717</v>
      </c>
      <c r="F103" s="29" t="s">
        <v>2524</v>
      </c>
      <c r="G103" s="29" t="s">
        <v>2718</v>
      </c>
      <c r="H103" s="29" t="s">
        <v>2719</v>
      </c>
      <c r="I103" s="29" t="s">
        <v>2527</v>
      </c>
      <c r="J103" s="29" t="s">
        <v>2236</v>
      </c>
      <c r="K103" s="29"/>
      <c r="L103" s="29" t="s">
        <v>2279</v>
      </c>
      <c r="M103" s="29" t="s">
        <v>2720</v>
      </c>
      <c r="N103" s="29"/>
      <c r="O103" s="29"/>
      <c r="P103" s="29"/>
      <c r="Q103" s="29"/>
      <c r="R103" s="29"/>
      <c r="S103" s="29"/>
    </row>
    <row r="104" customFormat="false" ht="23.85" hidden="false" customHeight="false" outlineLevel="0" collapsed="false">
      <c r="A104" s="18" t="s">
        <v>2143</v>
      </c>
      <c r="B104" s="18"/>
      <c r="C104" s="18"/>
      <c r="D104" s="18"/>
      <c r="E104" s="18" t="s">
        <v>2720</v>
      </c>
      <c r="F104" s="18" t="s">
        <v>2232</v>
      </c>
      <c r="G104" s="18" t="s">
        <v>2721</v>
      </c>
      <c r="H104" s="18" t="s">
        <v>2722</v>
      </c>
      <c r="I104" s="18" t="s">
        <v>2242</v>
      </c>
      <c r="J104" s="18" t="s">
        <v>2236</v>
      </c>
      <c r="K104" s="18"/>
      <c r="L104" s="18" t="s">
        <v>2723</v>
      </c>
      <c r="M104" s="20" t="s">
        <v>1064</v>
      </c>
      <c r="N104" s="18" t="s">
        <v>2724</v>
      </c>
      <c r="O104" s="27" t="s">
        <v>2299</v>
      </c>
      <c r="P104" s="18"/>
      <c r="Q104" s="18"/>
      <c r="R104" s="18"/>
      <c r="S104" s="18"/>
    </row>
    <row r="105" customFormat="false" ht="35.05" hidden="false" customHeight="false" outlineLevel="0" collapsed="false">
      <c r="A105" s="29" t="s">
        <v>2153</v>
      </c>
      <c r="B105" s="29" t="s">
        <v>2154</v>
      </c>
      <c r="C105" s="29" t="s">
        <v>2596</v>
      </c>
      <c r="D105" s="29" t="s">
        <v>2725</v>
      </c>
      <c r="E105" s="29" t="s">
        <v>2427</v>
      </c>
      <c r="F105" s="29" t="s">
        <v>2323</v>
      </c>
      <c r="G105" s="29" t="s">
        <v>2726</v>
      </c>
      <c r="H105" s="29" t="s">
        <v>2429</v>
      </c>
      <c r="I105" s="29" t="s">
        <v>2342</v>
      </c>
      <c r="J105" s="29" t="s">
        <v>2236</v>
      </c>
      <c r="K105" s="29"/>
      <c r="L105" s="29" t="s">
        <v>2727</v>
      </c>
      <c r="M105" s="29" t="s">
        <v>2322</v>
      </c>
      <c r="N105" s="29" t="s">
        <v>2728</v>
      </c>
      <c r="O105" s="29" t="s">
        <v>2436</v>
      </c>
      <c r="P105" s="29" t="s">
        <v>2729</v>
      </c>
      <c r="Q105" s="32" t="s">
        <v>2299</v>
      </c>
      <c r="R105" s="29" t="s">
        <v>2730</v>
      </c>
      <c r="S105" s="29" t="s">
        <v>2183</v>
      </c>
    </row>
    <row r="106" customFormat="false" ht="23.85" hidden="false" customHeight="false" outlineLevel="0" collapsed="false">
      <c r="A106" s="18" t="s">
        <v>2153</v>
      </c>
      <c r="B106" s="18"/>
      <c r="C106" s="18"/>
      <c r="D106" s="18"/>
      <c r="E106" s="18" t="s">
        <v>2322</v>
      </c>
      <c r="F106" s="18" t="s">
        <v>2266</v>
      </c>
      <c r="G106" s="18" t="s">
        <v>2731</v>
      </c>
      <c r="H106" s="18" t="s">
        <v>2732</v>
      </c>
      <c r="I106" s="18" t="s">
        <v>2235</v>
      </c>
      <c r="J106" s="18" t="s">
        <v>2236</v>
      </c>
      <c r="K106" s="18"/>
      <c r="L106" s="18" t="s">
        <v>2349</v>
      </c>
      <c r="M106" s="23" t="s">
        <v>2368</v>
      </c>
      <c r="N106" s="18"/>
      <c r="O106" s="18"/>
      <c r="P106" s="18"/>
      <c r="Q106" s="18"/>
      <c r="R106" s="18"/>
      <c r="S106" s="18"/>
    </row>
    <row r="107" customFormat="false" ht="23.85" hidden="false" customHeight="false" outlineLevel="0" collapsed="false">
      <c r="A107" s="18" t="s">
        <v>2153</v>
      </c>
      <c r="B107" s="18"/>
      <c r="C107" s="18"/>
      <c r="D107" s="18"/>
      <c r="E107" s="18" t="s">
        <v>2436</v>
      </c>
      <c r="F107" s="18" t="s">
        <v>2266</v>
      </c>
      <c r="G107" s="18" t="s">
        <v>2733</v>
      </c>
      <c r="H107" s="18" t="s">
        <v>2734</v>
      </c>
      <c r="I107" s="18" t="s">
        <v>2311</v>
      </c>
      <c r="J107" s="18" t="s">
        <v>2236</v>
      </c>
      <c r="K107" s="18"/>
      <c r="L107" s="18" t="s">
        <v>2735</v>
      </c>
      <c r="M107" s="23" t="s">
        <v>2368</v>
      </c>
      <c r="N107" s="18" t="s">
        <v>2736</v>
      </c>
      <c r="O107" s="27" t="s">
        <v>2299</v>
      </c>
      <c r="P107" s="18"/>
      <c r="Q107" s="18"/>
      <c r="R107" s="18"/>
      <c r="S107" s="18"/>
    </row>
    <row r="108" customFormat="false" ht="46.25" hidden="false" customHeight="false" outlineLevel="0" collapsed="false">
      <c r="A108" s="29" t="s">
        <v>2163</v>
      </c>
      <c r="B108" s="29" t="s">
        <v>2164</v>
      </c>
      <c r="C108" s="29" t="s">
        <v>2301</v>
      </c>
      <c r="D108" s="29" t="s">
        <v>2737</v>
      </c>
      <c r="E108" s="29" t="s">
        <v>150</v>
      </c>
      <c r="F108" s="29" t="s">
        <v>2266</v>
      </c>
      <c r="G108" s="29" t="s">
        <v>2738</v>
      </c>
      <c r="H108" s="29" t="s">
        <v>2739</v>
      </c>
      <c r="I108" s="29" t="s">
        <v>2305</v>
      </c>
      <c r="J108" s="29" t="s">
        <v>2236</v>
      </c>
      <c r="K108" s="29"/>
      <c r="L108" s="29" t="s">
        <v>1065</v>
      </c>
      <c r="M108" s="29" t="s">
        <v>2740</v>
      </c>
      <c r="N108" s="29" t="s">
        <v>2741</v>
      </c>
      <c r="O108" s="32" t="s">
        <v>2299</v>
      </c>
      <c r="P108" s="29" t="s">
        <v>2742</v>
      </c>
      <c r="Q108" s="29" t="s">
        <v>2740</v>
      </c>
      <c r="R108" s="29"/>
      <c r="S108" s="29"/>
    </row>
    <row r="109" customFormat="false" ht="15" hidden="false" customHeight="false" outlineLevel="0" collapsed="false">
      <c r="A109" s="18" t="s">
        <v>2163</v>
      </c>
      <c r="B109" s="18"/>
      <c r="C109" s="18"/>
      <c r="D109" s="18"/>
      <c r="E109" s="18" t="s">
        <v>2740</v>
      </c>
      <c r="F109" s="18" t="s">
        <v>2323</v>
      </c>
      <c r="G109" s="18" t="s">
        <v>2743</v>
      </c>
      <c r="H109" s="18"/>
      <c r="I109" s="18" t="s">
        <v>2342</v>
      </c>
      <c r="J109" s="18" t="s">
        <v>2236</v>
      </c>
      <c r="K109" s="18"/>
      <c r="L109" s="18" t="s">
        <v>1065</v>
      </c>
      <c r="M109" s="20" t="s">
        <v>1064</v>
      </c>
      <c r="N109" s="18" t="s">
        <v>1148</v>
      </c>
      <c r="O109" s="18" t="s">
        <v>2744</v>
      </c>
      <c r="P109" s="18"/>
      <c r="Q109" s="18"/>
      <c r="R109" s="18"/>
      <c r="S109" s="18"/>
    </row>
    <row r="110" customFormat="false" ht="23.85" hidden="false" customHeight="false" outlineLevel="0" collapsed="false">
      <c r="A110" s="18" t="s">
        <v>2163</v>
      </c>
      <c r="B110" s="18"/>
      <c r="C110" s="18"/>
      <c r="D110" s="18"/>
      <c r="E110" s="18" t="s">
        <v>2744</v>
      </c>
      <c r="F110" s="18" t="s">
        <v>2266</v>
      </c>
      <c r="G110" s="18" t="s">
        <v>2745</v>
      </c>
      <c r="H110" s="18" t="s">
        <v>2746</v>
      </c>
      <c r="I110" s="18" t="s">
        <v>2747</v>
      </c>
      <c r="J110" s="18" t="s">
        <v>2236</v>
      </c>
      <c r="K110" s="18"/>
      <c r="L110" s="18" t="s">
        <v>2748</v>
      </c>
      <c r="M110" s="20" t="s">
        <v>1064</v>
      </c>
      <c r="N110" s="18" t="s">
        <v>1742</v>
      </c>
      <c r="O110" s="27" t="s">
        <v>2299</v>
      </c>
      <c r="P110" s="18"/>
      <c r="Q110" s="18"/>
      <c r="R110" s="18"/>
      <c r="S110" s="18"/>
    </row>
    <row r="111" customFormat="false" ht="35.05" hidden="false" customHeight="false" outlineLevel="0" collapsed="false">
      <c r="A111" s="29" t="s">
        <v>2173</v>
      </c>
      <c r="B111" s="29" t="s">
        <v>2174</v>
      </c>
      <c r="C111" s="29" t="s">
        <v>2749</v>
      </c>
      <c r="D111" s="29" t="s">
        <v>2750</v>
      </c>
      <c r="E111" s="29" t="s">
        <v>150</v>
      </c>
      <c r="F111" s="29" t="s">
        <v>2266</v>
      </c>
      <c r="G111" s="29" t="s">
        <v>2751</v>
      </c>
      <c r="H111" s="29" t="s">
        <v>2752</v>
      </c>
      <c r="I111" s="29" t="s">
        <v>2305</v>
      </c>
      <c r="J111" s="29" t="s">
        <v>2236</v>
      </c>
      <c r="K111" s="29"/>
      <c r="L111" s="29" t="s">
        <v>2349</v>
      </c>
      <c r="M111" s="32" t="s">
        <v>2299</v>
      </c>
      <c r="N111" s="29"/>
      <c r="O111" s="29"/>
      <c r="P111" s="29"/>
      <c r="Q111" s="29"/>
      <c r="R111" s="29"/>
      <c r="S111" s="29"/>
    </row>
    <row r="112" customFormat="false" ht="35.05" hidden="false" customHeight="false" outlineLevel="0" collapsed="false">
      <c r="A112" s="29" t="s">
        <v>2183</v>
      </c>
      <c r="B112" s="29" t="s">
        <v>2184</v>
      </c>
      <c r="C112" s="29" t="s">
        <v>2753</v>
      </c>
      <c r="D112" s="29" t="s">
        <v>2754</v>
      </c>
      <c r="E112" s="29" t="s">
        <v>2755</v>
      </c>
      <c r="F112" s="29" t="s">
        <v>2323</v>
      </c>
      <c r="G112" s="29" t="s">
        <v>2756</v>
      </c>
      <c r="H112" s="29" t="s">
        <v>2757</v>
      </c>
      <c r="I112" s="29" t="s">
        <v>2342</v>
      </c>
      <c r="J112" s="29" t="s">
        <v>2236</v>
      </c>
      <c r="K112" s="29"/>
      <c r="L112" s="29" t="s">
        <v>2758</v>
      </c>
      <c r="M112" s="29" t="s">
        <v>2447</v>
      </c>
      <c r="N112" s="29" t="s">
        <v>2759</v>
      </c>
      <c r="O112" s="29" t="s">
        <v>2447</v>
      </c>
      <c r="P112" s="29" t="s">
        <v>2635</v>
      </c>
      <c r="Q112" s="29" t="s">
        <v>2447</v>
      </c>
      <c r="R112" s="29"/>
      <c r="S112" s="29"/>
    </row>
    <row r="113" customFormat="false" ht="23.85" hidden="false" customHeight="false" outlineLevel="0" collapsed="false">
      <c r="A113" s="18" t="s">
        <v>2183</v>
      </c>
      <c r="B113" s="18"/>
      <c r="C113" s="18"/>
      <c r="D113" s="18"/>
      <c r="E113" s="18" t="s">
        <v>2447</v>
      </c>
      <c r="F113" s="18" t="s">
        <v>2266</v>
      </c>
      <c r="G113" s="18" t="s">
        <v>2760</v>
      </c>
      <c r="H113" s="18" t="s">
        <v>2761</v>
      </c>
      <c r="I113" s="18" t="s">
        <v>2235</v>
      </c>
      <c r="J113" s="18" t="s">
        <v>2236</v>
      </c>
      <c r="K113" s="18"/>
      <c r="L113" s="18" t="s">
        <v>2349</v>
      </c>
      <c r="M113" s="18" t="s">
        <v>2762</v>
      </c>
      <c r="N113" s="18"/>
      <c r="O113" s="18"/>
      <c r="P113" s="18"/>
      <c r="Q113" s="18"/>
      <c r="R113" s="18"/>
      <c r="S113" s="18"/>
    </row>
    <row r="114" customFormat="false" ht="23.85" hidden="false" customHeight="false" outlineLevel="0" collapsed="false">
      <c r="A114" s="18" t="s">
        <v>2183</v>
      </c>
      <c r="B114" s="18"/>
      <c r="C114" s="18"/>
      <c r="D114" s="18"/>
      <c r="E114" s="18" t="s">
        <v>2762</v>
      </c>
      <c r="F114" s="18" t="s">
        <v>2266</v>
      </c>
      <c r="G114" s="18" t="s">
        <v>1765</v>
      </c>
      <c r="H114" s="18" t="s">
        <v>2763</v>
      </c>
      <c r="I114" s="18" t="s">
        <v>2269</v>
      </c>
      <c r="J114" s="18" t="s">
        <v>2236</v>
      </c>
      <c r="K114" s="18"/>
      <c r="L114" s="18" t="s">
        <v>2764</v>
      </c>
      <c r="M114" s="18" t="s">
        <v>2765</v>
      </c>
      <c r="N114" s="18" t="s">
        <v>2766</v>
      </c>
      <c r="O114" s="23" t="s">
        <v>2272</v>
      </c>
      <c r="P114" s="18"/>
      <c r="Q114" s="18"/>
      <c r="R114" s="18"/>
      <c r="S114" s="18"/>
    </row>
    <row r="115" customFormat="false" ht="23.85" hidden="false" customHeight="false" outlineLevel="0" collapsed="false">
      <c r="A115" s="18" t="s">
        <v>2183</v>
      </c>
      <c r="B115" s="18"/>
      <c r="C115" s="18"/>
      <c r="D115" s="18"/>
      <c r="E115" s="18" t="s">
        <v>2765</v>
      </c>
      <c r="F115" s="18" t="s">
        <v>2232</v>
      </c>
      <c r="G115" s="18" t="s">
        <v>2767</v>
      </c>
      <c r="H115" s="18" t="s">
        <v>2768</v>
      </c>
      <c r="I115" s="18" t="s">
        <v>2769</v>
      </c>
      <c r="J115" s="18" t="s">
        <v>2236</v>
      </c>
      <c r="K115" s="18"/>
      <c r="L115" s="18" t="s">
        <v>2770</v>
      </c>
      <c r="M115" s="23" t="s">
        <v>2368</v>
      </c>
      <c r="N115" s="18" t="s">
        <v>2771</v>
      </c>
      <c r="O115" s="27" t="s">
        <v>2299</v>
      </c>
      <c r="P115" s="18"/>
      <c r="Q115" s="18"/>
      <c r="R115" s="18"/>
      <c r="S115" s="18"/>
    </row>
    <row r="116" customFormat="false" ht="23.85" hidden="false" customHeight="false" outlineLevel="0" collapsed="false">
      <c r="A116" s="29" t="s">
        <v>2193</v>
      </c>
      <c r="B116" s="29" t="s">
        <v>2194</v>
      </c>
      <c r="C116" s="29" t="s">
        <v>2772</v>
      </c>
      <c r="D116" s="29" t="s">
        <v>2773</v>
      </c>
      <c r="E116" s="29" t="s">
        <v>2774</v>
      </c>
      <c r="F116" s="29" t="s">
        <v>2524</v>
      </c>
      <c r="G116" s="29" t="s">
        <v>2775</v>
      </c>
      <c r="H116" s="29" t="s">
        <v>2776</v>
      </c>
      <c r="I116" s="29" t="s">
        <v>2527</v>
      </c>
      <c r="J116" s="29" t="s">
        <v>2777</v>
      </c>
      <c r="K116" s="29"/>
      <c r="L116" s="29" t="s">
        <v>2778</v>
      </c>
      <c r="M116" s="30" t="s">
        <v>1064</v>
      </c>
      <c r="N116" s="29" t="s">
        <v>2779</v>
      </c>
      <c r="O116" s="29" t="s">
        <v>2780</v>
      </c>
      <c r="P116" s="29"/>
      <c r="Q116" s="29"/>
      <c r="R116" s="29"/>
      <c r="S116" s="29"/>
    </row>
    <row r="117" customFormat="false" ht="15" hidden="false" customHeight="false" outlineLevel="0" collapsed="false">
      <c r="A117" s="18" t="s">
        <v>2193</v>
      </c>
      <c r="B117" s="18"/>
      <c r="C117" s="18"/>
      <c r="D117" s="18"/>
      <c r="E117" s="18" t="s">
        <v>2780</v>
      </c>
      <c r="F117" s="18" t="s">
        <v>2266</v>
      </c>
      <c r="G117" s="18" t="s">
        <v>2781</v>
      </c>
      <c r="H117" s="18" t="s">
        <v>2782</v>
      </c>
      <c r="I117" s="18" t="s">
        <v>2235</v>
      </c>
      <c r="J117" s="18" t="s">
        <v>2236</v>
      </c>
      <c r="K117" s="18"/>
      <c r="L117" s="18" t="s">
        <v>2349</v>
      </c>
      <c r="M117" s="23" t="s">
        <v>2272</v>
      </c>
      <c r="N117" s="18"/>
      <c r="O117" s="18"/>
      <c r="P117" s="18"/>
      <c r="Q117" s="18"/>
      <c r="R117" s="18"/>
      <c r="S117" s="18"/>
    </row>
    <row r="118" customFormat="false" ht="35.05" hidden="false" customHeight="false" outlineLevel="0" collapsed="false">
      <c r="A118" s="29" t="s">
        <v>2203</v>
      </c>
      <c r="B118" s="29" t="s">
        <v>2204</v>
      </c>
      <c r="C118" s="29" t="s">
        <v>2783</v>
      </c>
      <c r="D118" s="29" t="s">
        <v>2784</v>
      </c>
      <c r="E118" s="29" t="s">
        <v>2266</v>
      </c>
      <c r="F118" s="29" t="s">
        <v>2266</v>
      </c>
      <c r="G118" s="29" t="s">
        <v>2785</v>
      </c>
      <c r="H118" s="29" t="s">
        <v>2786</v>
      </c>
      <c r="I118" s="29" t="s">
        <v>2242</v>
      </c>
      <c r="J118" s="29" t="s">
        <v>2236</v>
      </c>
      <c r="K118" s="29"/>
      <c r="L118" s="29" t="s">
        <v>2787</v>
      </c>
      <c r="M118" s="30" t="s">
        <v>1064</v>
      </c>
      <c r="N118" s="29" t="s">
        <v>2788</v>
      </c>
      <c r="O118" s="31" t="s">
        <v>2272</v>
      </c>
      <c r="P118" s="29" t="s">
        <v>2789</v>
      </c>
      <c r="Q118" s="30" t="s">
        <v>1064</v>
      </c>
      <c r="R118" s="29"/>
      <c r="S118" s="29"/>
    </row>
  </sheetData>
  <autoFilter ref="A1:S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2"/>
    <col collapsed="false" customWidth="true" hidden="false" outlineLevel="0" max="4" min="3" style="1" width="9"/>
    <col collapsed="false" customWidth="true" hidden="false" outlineLevel="0" max="5" min="5" style="1" width="26"/>
    <col collapsed="false" customWidth="true" hidden="false" outlineLevel="0" max="6" min="6" style="1" width="48"/>
    <col collapsed="false" customWidth="true" hidden="false" outlineLevel="0" max="7" min="7" style="1" width="26"/>
    <col collapsed="false" customWidth="true" hidden="false" outlineLevel="0" max="8" min="8" style="1" width="24"/>
    <col collapsed="false" customWidth="true" hidden="false" outlineLevel="0" max="9" min="9" style="1" width="55"/>
  </cols>
  <sheetData>
    <row r="1" customFormat="false" ht="26.25" hidden="false" customHeight="true" outlineLevel="0" collapsed="false">
      <c r="A1" s="17" t="s">
        <v>46</v>
      </c>
      <c r="B1" s="17" t="s">
        <v>47</v>
      </c>
      <c r="C1" s="17" t="s">
        <v>48</v>
      </c>
      <c r="D1" s="17" t="s">
        <v>49</v>
      </c>
      <c r="E1" s="17" t="s">
        <v>2790</v>
      </c>
      <c r="F1" s="17" t="s">
        <v>2791</v>
      </c>
      <c r="G1" s="17" t="s">
        <v>2792</v>
      </c>
      <c r="H1" s="17" t="s">
        <v>2793</v>
      </c>
      <c r="I1" s="17" t="s">
        <v>2794</v>
      </c>
    </row>
    <row r="2" customFormat="false" ht="15" hidden="false" customHeight="true" outlineLevel="0" collapsed="false">
      <c r="A2" s="18" t="s">
        <v>2795</v>
      </c>
      <c r="B2" s="18" t="s">
        <v>2796</v>
      </c>
      <c r="C2" s="18"/>
      <c r="D2" s="18"/>
      <c r="E2" s="18" t="s">
        <v>2797</v>
      </c>
      <c r="F2" s="18" t="s">
        <v>2798</v>
      </c>
      <c r="G2" s="20" t="s">
        <v>496</v>
      </c>
      <c r="H2" s="18" t="s">
        <v>2799</v>
      </c>
      <c r="I2" s="18" t="s">
        <v>2800</v>
      </c>
    </row>
    <row r="3" customFormat="false" ht="15" hidden="false" customHeight="true" outlineLevel="0" collapsed="false">
      <c r="A3" s="18" t="s">
        <v>2801</v>
      </c>
      <c r="B3" s="18" t="s">
        <v>2802</v>
      </c>
      <c r="C3" s="18"/>
      <c r="D3" s="18"/>
      <c r="E3" s="18" t="s">
        <v>2797</v>
      </c>
      <c r="F3" s="18" t="s">
        <v>2798</v>
      </c>
      <c r="G3" s="20" t="s">
        <v>159</v>
      </c>
      <c r="H3" s="18" t="s">
        <v>2803</v>
      </c>
      <c r="I3" s="18" t="s">
        <v>2804</v>
      </c>
    </row>
    <row r="4" customFormat="false" ht="15" hidden="false" customHeight="true" outlineLevel="0" collapsed="false">
      <c r="A4" s="18" t="s">
        <v>2805</v>
      </c>
      <c r="B4" s="18" t="s">
        <v>2806</v>
      </c>
      <c r="C4" s="18"/>
      <c r="D4" s="18"/>
      <c r="E4" s="18" t="s">
        <v>2797</v>
      </c>
      <c r="F4" s="18" t="s">
        <v>2798</v>
      </c>
      <c r="G4" s="20" t="s">
        <v>52</v>
      </c>
      <c r="H4" s="18" t="s">
        <v>2807</v>
      </c>
      <c r="I4" s="18" t="s">
        <v>2808</v>
      </c>
    </row>
    <row r="5" customFormat="false" ht="15" hidden="false" customHeight="true" outlineLevel="0" collapsed="false">
      <c r="A5" s="18" t="s">
        <v>2809</v>
      </c>
      <c r="B5" s="18" t="s">
        <v>2810</v>
      </c>
      <c r="C5" s="18"/>
      <c r="D5" s="18"/>
      <c r="E5" s="18" t="s">
        <v>2797</v>
      </c>
      <c r="F5" s="18" t="s">
        <v>2798</v>
      </c>
      <c r="G5" s="20" t="s">
        <v>52</v>
      </c>
      <c r="H5" s="18" t="s">
        <v>2807</v>
      </c>
      <c r="I5" s="18" t="s">
        <v>2811</v>
      </c>
    </row>
    <row r="6" customFormat="false" ht="15" hidden="false" customHeight="true" outlineLevel="0" collapsed="false">
      <c r="A6" s="18" t="s">
        <v>2812</v>
      </c>
      <c r="B6" s="18" t="s">
        <v>2813</v>
      </c>
      <c r="C6" s="18"/>
      <c r="D6" s="18"/>
      <c r="E6" s="18" t="s">
        <v>2797</v>
      </c>
      <c r="F6" s="18" t="s">
        <v>2798</v>
      </c>
      <c r="G6" s="20" t="s">
        <v>52</v>
      </c>
      <c r="H6" s="18" t="s">
        <v>2807</v>
      </c>
      <c r="I6" s="18" t="s">
        <v>2814</v>
      </c>
    </row>
    <row r="7" customFormat="false" ht="15" hidden="false" customHeight="true" outlineLevel="0" collapsed="false">
      <c r="A7" s="18" t="s">
        <v>2815</v>
      </c>
      <c r="B7" s="18" t="s">
        <v>184</v>
      </c>
      <c r="C7" s="18"/>
      <c r="D7" s="18"/>
      <c r="E7" s="18" t="s">
        <v>2797</v>
      </c>
      <c r="F7" s="18" t="s">
        <v>2798</v>
      </c>
      <c r="G7" s="20" t="s">
        <v>410</v>
      </c>
      <c r="H7" s="18" t="s">
        <v>2816</v>
      </c>
      <c r="I7" s="18" t="s">
        <v>2817</v>
      </c>
    </row>
    <row r="8" customFormat="false" ht="15" hidden="false" customHeight="true" outlineLevel="0" collapsed="false">
      <c r="A8" s="18" t="s">
        <v>2818</v>
      </c>
      <c r="B8" s="18" t="s">
        <v>2819</v>
      </c>
      <c r="C8" s="18"/>
      <c r="D8" s="18"/>
      <c r="E8" s="18" t="s">
        <v>2797</v>
      </c>
      <c r="F8" s="18" t="s">
        <v>2798</v>
      </c>
      <c r="G8" s="20" t="s">
        <v>496</v>
      </c>
      <c r="H8" s="18" t="s">
        <v>2820</v>
      </c>
      <c r="I8" s="18" t="s">
        <v>2821</v>
      </c>
    </row>
    <row r="9" customFormat="false" ht="15" hidden="false" customHeight="true" outlineLevel="0" collapsed="false">
      <c r="A9" s="18" t="s">
        <v>2822</v>
      </c>
      <c r="B9" s="18" t="s">
        <v>2823</v>
      </c>
      <c r="C9" s="18"/>
      <c r="D9" s="18"/>
      <c r="E9" s="18" t="s">
        <v>2797</v>
      </c>
      <c r="F9" s="18" t="s">
        <v>2798</v>
      </c>
      <c r="G9" s="20" t="s">
        <v>52</v>
      </c>
      <c r="H9" s="18" t="s">
        <v>2824</v>
      </c>
      <c r="I9" s="18" t="s">
        <v>2825</v>
      </c>
    </row>
    <row r="10" customFormat="false" ht="15" hidden="false" customHeight="true" outlineLevel="0" collapsed="false">
      <c r="A10" s="18" t="s">
        <v>2826</v>
      </c>
      <c r="B10" s="18" t="s">
        <v>2827</v>
      </c>
      <c r="C10" s="18"/>
      <c r="D10" s="18"/>
      <c r="E10" s="18" t="s">
        <v>2797</v>
      </c>
      <c r="F10" s="18" t="s">
        <v>2798</v>
      </c>
      <c r="G10" s="20" t="s">
        <v>496</v>
      </c>
      <c r="H10" s="18" t="s">
        <v>2828</v>
      </c>
      <c r="I10" s="18" t="s">
        <v>2829</v>
      </c>
    </row>
    <row r="11" customFormat="false" ht="15" hidden="false" customHeight="true" outlineLevel="0" collapsed="false">
      <c r="A11" s="18" t="s">
        <v>2830</v>
      </c>
      <c r="B11" s="18" t="s">
        <v>2831</v>
      </c>
      <c r="C11" s="18"/>
      <c r="D11" s="18"/>
      <c r="E11" s="18" t="s">
        <v>2797</v>
      </c>
      <c r="F11" s="18" t="s">
        <v>2798</v>
      </c>
      <c r="G11" s="20" t="s">
        <v>410</v>
      </c>
      <c r="H11" s="18" t="s">
        <v>2832</v>
      </c>
      <c r="I11" s="18" t="s">
        <v>2833</v>
      </c>
    </row>
    <row r="12" customFormat="false" ht="15" hidden="false" customHeight="true" outlineLevel="0" collapsed="false">
      <c r="A12" s="18" t="s">
        <v>2834</v>
      </c>
      <c r="B12" s="18" t="s">
        <v>2831</v>
      </c>
      <c r="C12" s="18"/>
      <c r="D12" s="18"/>
      <c r="E12" s="18" t="s">
        <v>2797</v>
      </c>
      <c r="F12" s="18" t="s">
        <v>2798</v>
      </c>
      <c r="G12" s="20" t="s">
        <v>410</v>
      </c>
      <c r="H12" s="18" t="s">
        <v>2835</v>
      </c>
      <c r="I12" s="18" t="s">
        <v>2836</v>
      </c>
    </row>
    <row r="13" customFormat="false" ht="15" hidden="false" customHeight="true" outlineLevel="0" collapsed="false">
      <c r="A13" s="18" t="s">
        <v>2837</v>
      </c>
      <c r="B13" s="18" t="s">
        <v>2838</v>
      </c>
      <c r="C13" s="18"/>
      <c r="D13" s="18"/>
      <c r="E13" s="18" t="s">
        <v>2797</v>
      </c>
      <c r="F13" s="18" t="s">
        <v>2798</v>
      </c>
      <c r="G13" s="20" t="s">
        <v>527</v>
      </c>
      <c r="H13" s="18" t="s">
        <v>2839</v>
      </c>
      <c r="I13" s="18" t="s">
        <v>2840</v>
      </c>
    </row>
    <row r="14" customFormat="false" ht="15" hidden="false" customHeight="true" outlineLevel="0" collapsed="false">
      <c r="A14" s="18" t="s">
        <v>2841</v>
      </c>
      <c r="B14" s="18" t="s">
        <v>2842</v>
      </c>
      <c r="C14" s="18"/>
      <c r="D14" s="18"/>
      <c r="E14" s="18" t="s">
        <v>2797</v>
      </c>
      <c r="F14" s="18" t="s">
        <v>2798</v>
      </c>
      <c r="G14" s="20" t="s">
        <v>527</v>
      </c>
      <c r="H14" s="18" t="s">
        <v>2839</v>
      </c>
      <c r="I14" s="18" t="s">
        <v>2843</v>
      </c>
    </row>
    <row r="15" customFormat="false" ht="23.25" hidden="false" customHeight="true" outlineLevel="0" collapsed="false">
      <c r="A15" s="18" t="s">
        <v>2844</v>
      </c>
      <c r="B15" s="18" t="s">
        <v>2845</v>
      </c>
      <c r="C15" s="18" t="s">
        <v>2846</v>
      </c>
      <c r="D15" s="18"/>
      <c r="E15" s="18" t="s">
        <v>2797</v>
      </c>
      <c r="F15" s="18" t="s">
        <v>2798</v>
      </c>
      <c r="G15" s="20" t="s">
        <v>410</v>
      </c>
      <c r="H15" s="18" t="s">
        <v>2847</v>
      </c>
      <c r="I15" s="18" t="s">
        <v>2848</v>
      </c>
    </row>
    <row r="16" customFormat="false" ht="15" hidden="false" customHeight="true" outlineLevel="0" collapsed="false">
      <c r="A16" s="18" t="s">
        <v>2849</v>
      </c>
      <c r="B16" s="18" t="s">
        <v>2850</v>
      </c>
      <c r="C16" s="18"/>
      <c r="D16" s="18"/>
      <c r="E16" s="18" t="s">
        <v>2797</v>
      </c>
      <c r="F16" s="18" t="s">
        <v>2798</v>
      </c>
      <c r="G16" s="20" t="s">
        <v>101</v>
      </c>
      <c r="H16" s="18" t="s">
        <v>2851</v>
      </c>
      <c r="I16" s="18" t="s">
        <v>2852</v>
      </c>
    </row>
    <row r="17" customFormat="false" ht="15" hidden="false" customHeight="true" outlineLevel="0" collapsed="false">
      <c r="A17" s="18" t="s">
        <v>2853</v>
      </c>
      <c r="B17" s="18" t="s">
        <v>2854</v>
      </c>
      <c r="C17" s="18"/>
      <c r="D17" s="18"/>
      <c r="E17" s="18" t="s">
        <v>2797</v>
      </c>
      <c r="F17" s="18" t="s">
        <v>2798</v>
      </c>
      <c r="G17" s="20" t="s">
        <v>101</v>
      </c>
      <c r="H17" s="18" t="s">
        <v>2855</v>
      </c>
      <c r="I17" s="18" t="s">
        <v>2856</v>
      </c>
    </row>
    <row r="18" customFormat="false" ht="15" hidden="false" customHeight="true" outlineLevel="0" collapsed="false">
      <c r="A18" s="18" t="s">
        <v>2857</v>
      </c>
      <c r="B18" s="18" t="s">
        <v>2858</v>
      </c>
      <c r="C18" s="18"/>
      <c r="D18" s="18"/>
      <c r="E18" s="18" t="s">
        <v>2797</v>
      </c>
      <c r="F18" s="18" t="s">
        <v>2798</v>
      </c>
      <c r="G18" s="20" t="s">
        <v>101</v>
      </c>
      <c r="H18" s="18" t="s">
        <v>2855</v>
      </c>
      <c r="I18" s="18" t="s">
        <v>2859</v>
      </c>
    </row>
    <row r="19" customFormat="false" ht="15" hidden="false" customHeight="true" outlineLevel="0" collapsed="false">
      <c r="A19" s="18" t="s">
        <v>2860</v>
      </c>
      <c r="B19" s="18" t="s">
        <v>2861</v>
      </c>
      <c r="C19" s="18"/>
      <c r="D19" s="18"/>
      <c r="E19" s="18" t="s">
        <v>2797</v>
      </c>
      <c r="F19" s="18" t="s">
        <v>2798</v>
      </c>
      <c r="G19" s="20" t="s">
        <v>136</v>
      </c>
      <c r="H19" s="18" t="s">
        <v>2862</v>
      </c>
      <c r="I19" s="18" t="s">
        <v>2863</v>
      </c>
    </row>
    <row r="20" customFormat="false" ht="23.25" hidden="false" customHeight="true" outlineLevel="0" collapsed="false">
      <c r="A20" s="18" t="s">
        <v>2864</v>
      </c>
      <c r="B20" s="18" t="s">
        <v>2865</v>
      </c>
      <c r="C20" s="18"/>
      <c r="D20" s="18"/>
      <c r="E20" s="18" t="s">
        <v>2797</v>
      </c>
      <c r="F20" s="18" t="s">
        <v>2798</v>
      </c>
      <c r="G20" s="20" t="s">
        <v>774</v>
      </c>
      <c r="H20" s="18" t="s">
        <v>2866</v>
      </c>
      <c r="I20" s="18" t="s">
        <v>2867</v>
      </c>
    </row>
    <row r="21" customFormat="false" ht="23.25" hidden="false" customHeight="true" outlineLevel="0" collapsed="false">
      <c r="A21" s="18" t="s">
        <v>2868</v>
      </c>
      <c r="B21" s="18" t="s">
        <v>831</v>
      </c>
      <c r="C21" s="18"/>
      <c r="D21" s="18"/>
      <c r="E21" s="18" t="s">
        <v>2797</v>
      </c>
      <c r="F21" s="18" t="s">
        <v>2798</v>
      </c>
      <c r="G21" s="20" t="s">
        <v>774</v>
      </c>
      <c r="H21" s="18" t="s">
        <v>2869</v>
      </c>
      <c r="I21" s="18" t="s">
        <v>2870</v>
      </c>
    </row>
    <row r="22" customFormat="false" ht="15" hidden="false" customHeight="true" outlineLevel="0" collapsed="false">
      <c r="A22" s="18" t="s">
        <v>2871</v>
      </c>
      <c r="B22" s="18" t="s">
        <v>2872</v>
      </c>
      <c r="C22" s="18"/>
      <c r="D22" s="18"/>
      <c r="E22" s="18" t="s">
        <v>2797</v>
      </c>
      <c r="F22" s="18" t="s">
        <v>2798</v>
      </c>
      <c r="G22" s="20" t="s">
        <v>52</v>
      </c>
      <c r="H22" s="18" t="s">
        <v>2873</v>
      </c>
      <c r="I22" s="18" t="s">
        <v>2874</v>
      </c>
    </row>
    <row r="23" customFormat="false" ht="15" hidden="false" customHeight="true" outlineLevel="0" collapsed="false">
      <c r="A23" s="18" t="s">
        <v>2875</v>
      </c>
      <c r="B23" s="18" t="s">
        <v>2876</v>
      </c>
      <c r="C23" s="18"/>
      <c r="D23" s="18"/>
      <c r="E23" s="18" t="s">
        <v>2797</v>
      </c>
      <c r="F23" s="18" t="s">
        <v>2798</v>
      </c>
      <c r="G23" s="20" t="s">
        <v>372</v>
      </c>
      <c r="H23" s="18" t="s">
        <v>2877</v>
      </c>
      <c r="I23" s="18" t="s">
        <v>2878</v>
      </c>
    </row>
    <row r="24" customFormat="false" ht="15" hidden="false" customHeight="true" outlineLevel="0" collapsed="false">
      <c r="A24" s="18" t="s">
        <v>2879</v>
      </c>
      <c r="B24" s="18" t="s">
        <v>2880</v>
      </c>
      <c r="C24" s="18"/>
      <c r="D24" s="18"/>
      <c r="E24" s="18" t="s">
        <v>2797</v>
      </c>
      <c r="F24" s="18" t="s">
        <v>2798</v>
      </c>
      <c r="G24" s="20" t="s">
        <v>372</v>
      </c>
      <c r="H24" s="18" t="s">
        <v>2877</v>
      </c>
      <c r="I24" s="18" t="s">
        <v>2881</v>
      </c>
    </row>
    <row r="25" customFormat="false" ht="15" hidden="false" customHeight="true" outlineLevel="0" collapsed="false">
      <c r="A25" s="18" t="s">
        <v>2882</v>
      </c>
      <c r="B25" s="18" t="s">
        <v>2883</v>
      </c>
      <c r="C25" s="18"/>
      <c r="D25" s="18"/>
      <c r="E25" s="18" t="s">
        <v>2797</v>
      </c>
      <c r="F25" s="18" t="s">
        <v>2798</v>
      </c>
      <c r="G25" s="20" t="s">
        <v>372</v>
      </c>
      <c r="H25" s="18" t="s">
        <v>2877</v>
      </c>
      <c r="I25" s="18" t="s">
        <v>2884</v>
      </c>
    </row>
    <row r="26" customFormat="false" ht="15" hidden="false" customHeight="true" outlineLevel="0" collapsed="false">
      <c r="A26" s="18" t="s">
        <v>2885</v>
      </c>
      <c r="B26" s="18" t="s">
        <v>2886</v>
      </c>
      <c r="C26" s="18"/>
      <c r="D26" s="18"/>
      <c r="E26" s="18" t="s">
        <v>2797</v>
      </c>
      <c r="F26" s="18" t="s">
        <v>2798</v>
      </c>
      <c r="G26" s="20" t="s">
        <v>284</v>
      </c>
      <c r="H26" s="18" t="s">
        <v>2887</v>
      </c>
      <c r="I26" s="18" t="s">
        <v>2888</v>
      </c>
    </row>
    <row r="27" customFormat="false" ht="15" hidden="false" customHeight="true" outlineLevel="0" collapsed="false">
      <c r="A27" s="18" t="s">
        <v>2889</v>
      </c>
      <c r="B27" s="18" t="s">
        <v>2890</v>
      </c>
      <c r="C27" s="18"/>
      <c r="D27" s="18"/>
      <c r="E27" s="18" t="s">
        <v>2797</v>
      </c>
      <c r="F27" s="18" t="s">
        <v>2798</v>
      </c>
      <c r="G27" s="20" t="s">
        <v>284</v>
      </c>
      <c r="H27" s="18" t="s">
        <v>2887</v>
      </c>
      <c r="I27" s="18" t="s">
        <v>2891</v>
      </c>
    </row>
    <row r="28" customFormat="false" ht="15" hidden="false" customHeight="true" outlineLevel="0" collapsed="false">
      <c r="A28" s="18" t="s">
        <v>2892</v>
      </c>
      <c r="B28" s="18" t="s">
        <v>2893</v>
      </c>
      <c r="C28" s="18"/>
      <c r="D28" s="18"/>
      <c r="E28" s="18" t="s">
        <v>2797</v>
      </c>
      <c r="F28" s="18" t="s">
        <v>2798</v>
      </c>
      <c r="G28" s="20" t="s">
        <v>284</v>
      </c>
      <c r="H28" s="18" t="s">
        <v>2887</v>
      </c>
      <c r="I28" s="18" t="s">
        <v>2894</v>
      </c>
    </row>
    <row r="29" customFormat="false" ht="15" hidden="false" customHeight="true" outlineLevel="0" collapsed="false">
      <c r="A29" s="18" t="s">
        <v>2895</v>
      </c>
      <c r="B29" s="18" t="s">
        <v>2896</v>
      </c>
      <c r="C29" s="18"/>
      <c r="D29" s="18"/>
      <c r="E29" s="18" t="s">
        <v>2797</v>
      </c>
      <c r="F29" s="18" t="s">
        <v>2798</v>
      </c>
      <c r="G29" s="20" t="s">
        <v>284</v>
      </c>
      <c r="H29" s="18" t="s">
        <v>2887</v>
      </c>
      <c r="I29" s="18" t="s">
        <v>2897</v>
      </c>
    </row>
    <row r="30" customFormat="false" ht="15" hidden="false" customHeight="true" outlineLevel="0" collapsed="false">
      <c r="A30" s="18" t="s">
        <v>2898</v>
      </c>
      <c r="B30" s="18" t="s">
        <v>2796</v>
      </c>
      <c r="C30" s="18"/>
      <c r="D30" s="18"/>
      <c r="E30" s="18" t="s">
        <v>2797</v>
      </c>
      <c r="F30" s="18" t="s">
        <v>2798</v>
      </c>
      <c r="G30" s="20" t="s">
        <v>52</v>
      </c>
      <c r="H30" s="18" t="s">
        <v>2807</v>
      </c>
      <c r="I30" s="18" t="s">
        <v>2899</v>
      </c>
    </row>
    <row r="31" customFormat="false" ht="15" hidden="false" customHeight="true" outlineLevel="0" collapsed="false">
      <c r="A31" s="18" t="s">
        <v>2900</v>
      </c>
      <c r="B31" s="18" t="s">
        <v>2901</v>
      </c>
      <c r="C31" s="18"/>
      <c r="D31" s="18"/>
      <c r="E31" s="18" t="s">
        <v>2797</v>
      </c>
      <c r="F31" s="18" t="s">
        <v>2798</v>
      </c>
      <c r="G31" s="20" t="s">
        <v>52</v>
      </c>
      <c r="H31" s="18" t="s">
        <v>2807</v>
      </c>
      <c r="I31" s="18" t="s">
        <v>2902</v>
      </c>
    </row>
    <row r="32" customFormat="false" ht="15" hidden="false" customHeight="true" outlineLevel="0" collapsed="false">
      <c r="A32" s="18" t="s">
        <v>2903</v>
      </c>
      <c r="B32" s="18" t="s">
        <v>2904</v>
      </c>
      <c r="C32" s="18"/>
      <c r="D32" s="18"/>
      <c r="E32" s="18" t="s">
        <v>2797</v>
      </c>
      <c r="F32" s="18" t="s">
        <v>2798</v>
      </c>
      <c r="G32" s="20" t="s">
        <v>52</v>
      </c>
      <c r="H32" s="18" t="s">
        <v>2807</v>
      </c>
      <c r="I32" s="18" t="s">
        <v>2905</v>
      </c>
    </row>
    <row r="33" customFormat="false" ht="15" hidden="false" customHeight="true" outlineLevel="0" collapsed="false">
      <c r="A33" s="18" t="s">
        <v>2906</v>
      </c>
      <c r="B33" s="18" t="s">
        <v>2907</v>
      </c>
      <c r="C33" s="18"/>
      <c r="D33" s="18"/>
      <c r="E33" s="18" t="s">
        <v>2908</v>
      </c>
      <c r="F33" s="18" t="s">
        <v>2798</v>
      </c>
      <c r="G33" s="20" t="s">
        <v>496</v>
      </c>
      <c r="H33" s="18" t="s">
        <v>2909</v>
      </c>
      <c r="I33" s="18" t="s">
        <v>2910</v>
      </c>
    </row>
    <row r="34" customFormat="false" ht="15" hidden="false" customHeight="true" outlineLevel="0" collapsed="false">
      <c r="A34" s="18" t="s">
        <v>2911</v>
      </c>
      <c r="B34" s="18" t="s">
        <v>2912</v>
      </c>
      <c r="C34" s="18" t="s">
        <v>1497</v>
      </c>
      <c r="D34" s="18"/>
      <c r="E34" s="18" t="s">
        <v>2908</v>
      </c>
      <c r="F34" s="18" t="s">
        <v>2798</v>
      </c>
      <c r="G34" s="20" t="s">
        <v>496</v>
      </c>
      <c r="H34" s="18" t="s">
        <v>2820</v>
      </c>
      <c r="I34" s="18" t="s">
        <v>2913</v>
      </c>
    </row>
    <row r="35" customFormat="false" ht="15" hidden="false" customHeight="true" outlineLevel="0" collapsed="false">
      <c r="A35" s="18" t="s">
        <v>2914</v>
      </c>
      <c r="B35" s="18" t="s">
        <v>2915</v>
      </c>
      <c r="C35" s="18" t="s">
        <v>2916</v>
      </c>
      <c r="D35" s="18"/>
      <c r="E35" s="18" t="s">
        <v>2908</v>
      </c>
      <c r="F35" s="18" t="s">
        <v>2798</v>
      </c>
      <c r="G35" s="20" t="s">
        <v>213</v>
      </c>
      <c r="H35" s="18" t="s">
        <v>2917</v>
      </c>
      <c r="I35" s="18" t="s">
        <v>2918</v>
      </c>
    </row>
    <row r="36" customFormat="false" ht="15" hidden="false" customHeight="true" outlineLevel="0" collapsed="false">
      <c r="A36" s="18" t="s">
        <v>2919</v>
      </c>
      <c r="B36" s="18" t="s">
        <v>2920</v>
      </c>
      <c r="C36" s="18"/>
      <c r="D36" s="18"/>
      <c r="E36" s="18" t="s">
        <v>2908</v>
      </c>
      <c r="F36" s="18" t="s">
        <v>2798</v>
      </c>
      <c r="G36" s="20" t="s">
        <v>213</v>
      </c>
      <c r="H36" s="18" t="s">
        <v>2917</v>
      </c>
      <c r="I36" s="18" t="s">
        <v>2921</v>
      </c>
    </row>
    <row r="37" customFormat="false" ht="15" hidden="false" customHeight="true" outlineLevel="0" collapsed="false">
      <c r="A37" s="18" t="s">
        <v>2922</v>
      </c>
      <c r="B37" s="18" t="s">
        <v>2923</v>
      </c>
      <c r="C37" s="18"/>
      <c r="D37" s="18"/>
      <c r="E37" s="18" t="s">
        <v>2908</v>
      </c>
      <c r="F37" s="18" t="s">
        <v>2798</v>
      </c>
      <c r="G37" s="20" t="s">
        <v>213</v>
      </c>
      <c r="H37" s="18" t="s">
        <v>2917</v>
      </c>
      <c r="I37" s="18" t="s">
        <v>2924</v>
      </c>
    </row>
    <row r="38" customFormat="false" ht="23.25" hidden="false" customHeight="true" outlineLevel="0" collapsed="false">
      <c r="A38" s="18" t="s">
        <v>2925</v>
      </c>
      <c r="B38" s="18" t="s">
        <v>2926</v>
      </c>
      <c r="C38" s="18" t="s">
        <v>2927</v>
      </c>
      <c r="D38" s="18"/>
      <c r="E38" s="18" t="s">
        <v>2908</v>
      </c>
      <c r="F38" s="18" t="s">
        <v>2798</v>
      </c>
      <c r="G38" s="20" t="s">
        <v>410</v>
      </c>
      <c r="H38" s="18" t="s">
        <v>2928</v>
      </c>
      <c r="I38" s="18" t="s">
        <v>2929</v>
      </c>
    </row>
    <row r="39" customFormat="false" ht="15" hidden="false" customHeight="true" outlineLevel="0" collapsed="false">
      <c r="A39" s="18" t="s">
        <v>2930</v>
      </c>
      <c r="B39" s="18" t="s">
        <v>2931</v>
      </c>
      <c r="C39" s="18"/>
      <c r="D39" s="18"/>
      <c r="E39" s="18" t="s">
        <v>2908</v>
      </c>
      <c r="F39" s="18" t="s">
        <v>2798</v>
      </c>
      <c r="G39" s="20" t="s">
        <v>410</v>
      </c>
      <c r="H39" s="18" t="s">
        <v>2816</v>
      </c>
      <c r="I39" s="18" t="s">
        <v>2932</v>
      </c>
    </row>
    <row r="40" customFormat="false" ht="23.25" hidden="false" customHeight="true" outlineLevel="0" collapsed="false">
      <c r="A40" s="18" t="s">
        <v>2933</v>
      </c>
      <c r="B40" s="18" t="s">
        <v>2934</v>
      </c>
      <c r="C40" s="18"/>
      <c r="D40" s="18"/>
      <c r="E40" s="18"/>
      <c r="F40" s="18" t="s">
        <v>2935</v>
      </c>
      <c r="G40" s="20" t="s">
        <v>774</v>
      </c>
      <c r="H40" s="18" t="s">
        <v>2936</v>
      </c>
      <c r="I40" s="18" t="s">
        <v>2937</v>
      </c>
    </row>
    <row r="41" customFormat="false" ht="23.25" hidden="false" customHeight="true" outlineLevel="0" collapsed="false">
      <c r="A41" s="18" t="s">
        <v>2938</v>
      </c>
      <c r="B41" s="18" t="s">
        <v>2939</v>
      </c>
      <c r="C41" s="18" t="s">
        <v>1405</v>
      </c>
      <c r="D41" s="18"/>
      <c r="E41" s="18" t="s">
        <v>2797</v>
      </c>
      <c r="F41" s="18" t="s">
        <v>2940</v>
      </c>
      <c r="G41" s="20" t="s">
        <v>410</v>
      </c>
      <c r="H41" s="18" t="s">
        <v>2816</v>
      </c>
      <c r="I41" s="18" t="s">
        <v>2941</v>
      </c>
    </row>
    <row r="42" customFormat="false" ht="15" hidden="false" customHeight="true" outlineLevel="0" collapsed="false">
      <c r="A42" s="18" t="s">
        <v>2942</v>
      </c>
      <c r="B42" s="18" t="s">
        <v>2943</v>
      </c>
      <c r="C42" s="18"/>
      <c r="D42" s="18"/>
      <c r="E42" s="18" t="s">
        <v>2797</v>
      </c>
      <c r="F42" s="18" t="s">
        <v>2944</v>
      </c>
      <c r="G42" s="20" t="s">
        <v>284</v>
      </c>
      <c r="H42" s="18" t="s">
        <v>2945</v>
      </c>
      <c r="I42" s="18" t="s">
        <v>2946</v>
      </c>
    </row>
    <row r="43" customFormat="false" ht="15" hidden="false" customHeight="true" outlineLevel="0" collapsed="false">
      <c r="A43" s="18" t="s">
        <v>2947</v>
      </c>
      <c r="B43" s="18" t="s">
        <v>2948</v>
      </c>
      <c r="C43" s="18" t="s">
        <v>2949</v>
      </c>
      <c r="D43" s="18"/>
      <c r="E43" s="18" t="s">
        <v>2797</v>
      </c>
      <c r="F43" s="18" t="s">
        <v>2950</v>
      </c>
      <c r="G43" s="20" t="s">
        <v>410</v>
      </c>
      <c r="H43" s="18" t="s">
        <v>2951</v>
      </c>
      <c r="I43" s="18" t="s">
        <v>2952</v>
      </c>
    </row>
    <row r="44" customFormat="false" ht="15" hidden="false" customHeight="true" outlineLevel="0" collapsed="false">
      <c r="A44" s="18" t="s">
        <v>2953</v>
      </c>
      <c r="B44" s="18" t="s">
        <v>2954</v>
      </c>
      <c r="C44" s="18" t="s">
        <v>2955</v>
      </c>
      <c r="D44" s="18"/>
      <c r="E44" s="18" t="s">
        <v>2797</v>
      </c>
      <c r="F44" s="18" t="s">
        <v>2956</v>
      </c>
      <c r="G44" s="20" t="s">
        <v>410</v>
      </c>
      <c r="H44" s="18" t="s">
        <v>2957</v>
      </c>
      <c r="I44" s="18" t="s">
        <v>2958</v>
      </c>
    </row>
    <row r="45" customFormat="false" ht="15" hidden="false" customHeight="true" outlineLevel="0" collapsed="false">
      <c r="A45" s="18" t="s">
        <v>2959</v>
      </c>
      <c r="B45" s="18" t="s">
        <v>2960</v>
      </c>
      <c r="C45" s="18"/>
      <c r="D45" s="18"/>
      <c r="E45" s="18" t="s">
        <v>2797</v>
      </c>
      <c r="F45" s="18" t="s">
        <v>2961</v>
      </c>
      <c r="G45" s="20" t="s">
        <v>101</v>
      </c>
      <c r="H45" s="18" t="s">
        <v>2962</v>
      </c>
      <c r="I45" s="18" t="s">
        <v>2963</v>
      </c>
    </row>
    <row r="46" customFormat="false" ht="23.25" hidden="false" customHeight="true" outlineLevel="0" collapsed="false">
      <c r="A46" s="18" t="s">
        <v>2964</v>
      </c>
      <c r="B46" s="18" t="s">
        <v>2965</v>
      </c>
      <c r="C46" s="18"/>
      <c r="D46" s="18" t="s">
        <v>2966</v>
      </c>
      <c r="E46" s="18" t="s">
        <v>2797</v>
      </c>
      <c r="F46" s="18" t="s">
        <v>2967</v>
      </c>
      <c r="G46" s="20" t="s">
        <v>52</v>
      </c>
      <c r="H46" s="18" t="s">
        <v>2968</v>
      </c>
      <c r="I46" s="18" t="s">
        <v>2969</v>
      </c>
    </row>
    <row r="47" customFormat="false" ht="15" hidden="false" customHeight="true" outlineLevel="0" collapsed="false">
      <c r="A47" s="18" t="s">
        <v>2970</v>
      </c>
      <c r="B47" s="18" t="s">
        <v>2971</v>
      </c>
      <c r="C47" s="18"/>
      <c r="D47" s="18"/>
      <c r="E47" s="18" t="s">
        <v>2797</v>
      </c>
      <c r="F47" s="18" t="s">
        <v>2972</v>
      </c>
      <c r="G47" s="20" t="s">
        <v>52</v>
      </c>
      <c r="H47" s="18" t="s">
        <v>2973</v>
      </c>
      <c r="I47" s="18" t="s">
        <v>2974</v>
      </c>
    </row>
    <row r="48" customFormat="false" ht="15" hidden="false" customHeight="true" outlineLevel="0" collapsed="false">
      <c r="A48" s="18" t="s">
        <v>2975</v>
      </c>
      <c r="B48" s="18" t="s">
        <v>2976</v>
      </c>
      <c r="C48" s="18"/>
      <c r="D48" s="18"/>
      <c r="E48" s="18" t="s">
        <v>2797</v>
      </c>
      <c r="F48" s="18" t="s">
        <v>2977</v>
      </c>
      <c r="G48" s="20" t="s">
        <v>908</v>
      </c>
      <c r="H48" s="18" t="s">
        <v>2527</v>
      </c>
      <c r="I48" s="18" t="s">
        <v>2978</v>
      </c>
    </row>
    <row r="49" customFormat="false" ht="15" hidden="false" customHeight="true" outlineLevel="0" collapsed="false">
      <c r="A49" s="18" t="s">
        <v>2979</v>
      </c>
      <c r="B49" s="18" t="s">
        <v>2980</v>
      </c>
      <c r="C49" s="18"/>
      <c r="D49" s="18"/>
      <c r="E49" s="18" t="s">
        <v>2797</v>
      </c>
      <c r="F49" s="18" t="s">
        <v>2981</v>
      </c>
      <c r="G49" s="20" t="s">
        <v>52</v>
      </c>
      <c r="H49" s="18" t="s">
        <v>2527</v>
      </c>
      <c r="I49" s="18" t="s">
        <v>2982</v>
      </c>
    </row>
    <row r="50" customFormat="false" ht="23.25" hidden="false" customHeight="true" outlineLevel="0" collapsed="false">
      <c r="A50" s="18" t="s">
        <v>2983</v>
      </c>
      <c r="B50" s="18" t="s">
        <v>2984</v>
      </c>
      <c r="C50" s="18" t="s">
        <v>660</v>
      </c>
      <c r="D50" s="18"/>
      <c r="E50" s="18" t="s">
        <v>2908</v>
      </c>
      <c r="F50" s="18" t="s">
        <v>2985</v>
      </c>
      <c r="G50" s="20" t="s">
        <v>213</v>
      </c>
      <c r="H50" s="18" t="s">
        <v>2986</v>
      </c>
      <c r="I50" s="18" t="s">
        <v>2987</v>
      </c>
    </row>
    <row r="51" customFormat="false" ht="23.25" hidden="false" customHeight="true" outlineLevel="0" collapsed="false">
      <c r="A51" s="18" t="s">
        <v>2988</v>
      </c>
      <c r="B51" s="18" t="s">
        <v>2989</v>
      </c>
      <c r="C51" s="18" t="s">
        <v>677</v>
      </c>
      <c r="D51" s="18"/>
      <c r="E51" s="18" t="s">
        <v>2908</v>
      </c>
      <c r="F51" s="18" t="s">
        <v>2990</v>
      </c>
      <c r="G51" s="20" t="s">
        <v>213</v>
      </c>
      <c r="H51" s="18" t="s">
        <v>2917</v>
      </c>
      <c r="I51" s="18" t="s">
        <v>2991</v>
      </c>
    </row>
    <row r="52" customFormat="false" ht="15" hidden="false" customHeight="true" outlineLevel="0" collapsed="false">
      <c r="A52" s="18" t="s">
        <v>2992</v>
      </c>
      <c r="B52" s="18" t="s">
        <v>2993</v>
      </c>
      <c r="C52" s="18" t="s">
        <v>898</v>
      </c>
      <c r="D52" s="18"/>
      <c r="E52" s="18" t="s">
        <v>2908</v>
      </c>
      <c r="F52" s="18" t="s">
        <v>2994</v>
      </c>
      <c r="G52" s="20" t="s">
        <v>389</v>
      </c>
      <c r="H52" s="18" t="s">
        <v>2995</v>
      </c>
      <c r="I52" s="18" t="s">
        <v>2996</v>
      </c>
    </row>
    <row r="53" customFormat="false" ht="23.25" hidden="false" customHeight="true" outlineLevel="0" collapsed="false">
      <c r="A53" s="18" t="s">
        <v>2997</v>
      </c>
      <c r="B53" s="18" t="s">
        <v>2998</v>
      </c>
      <c r="C53" s="18" t="s">
        <v>2999</v>
      </c>
      <c r="D53" s="18"/>
      <c r="E53" s="18" t="s">
        <v>2908</v>
      </c>
      <c r="F53" s="18" t="s">
        <v>3000</v>
      </c>
      <c r="G53" s="20" t="s">
        <v>389</v>
      </c>
      <c r="H53" s="18" t="s">
        <v>3001</v>
      </c>
      <c r="I53" s="18" t="s">
        <v>3002</v>
      </c>
    </row>
    <row r="54" customFormat="false" ht="23.25" hidden="false" customHeight="true" outlineLevel="0" collapsed="false">
      <c r="A54" s="18" t="s">
        <v>3003</v>
      </c>
      <c r="B54" s="18" t="s">
        <v>3004</v>
      </c>
      <c r="C54" s="18" t="s">
        <v>3005</v>
      </c>
      <c r="D54" s="18"/>
      <c r="E54" s="18" t="s">
        <v>2908</v>
      </c>
      <c r="F54" s="18" t="s">
        <v>3006</v>
      </c>
      <c r="G54" s="20" t="s">
        <v>389</v>
      </c>
      <c r="H54" s="18" t="s">
        <v>3007</v>
      </c>
      <c r="I54" s="18" t="s">
        <v>3008</v>
      </c>
    </row>
  </sheetData>
  <autoFilter ref="A1:I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10"/>
    <col collapsed="false" customWidth="true" hidden="false" outlineLevel="0" max="4" min="4" style="1" width="55"/>
    <col collapsed="false" customWidth="true" hidden="false" outlineLevel="0" max="5" min="5" style="1" width="70"/>
  </cols>
  <sheetData>
    <row r="1" customFormat="false" ht="15" hidden="false" customHeight="true" outlineLevel="0" collapsed="false">
      <c r="A1" s="17" t="s">
        <v>43</v>
      </c>
      <c r="B1" s="17" t="s">
        <v>3009</v>
      </c>
      <c r="C1" s="17" t="s">
        <v>3010</v>
      </c>
      <c r="D1" s="17" t="s">
        <v>45</v>
      </c>
      <c r="E1" s="17" t="s">
        <v>3011</v>
      </c>
    </row>
    <row r="2" customFormat="false" ht="23.25" hidden="false" customHeight="true" outlineLevel="0" collapsed="false">
      <c r="A2" s="20" t="s">
        <v>52</v>
      </c>
      <c r="B2" s="18" t="n">
        <v>8</v>
      </c>
      <c r="C2" s="18" t="n">
        <v>8</v>
      </c>
      <c r="D2" s="18" t="s">
        <v>77</v>
      </c>
      <c r="E2" s="18" t="s">
        <v>81</v>
      </c>
    </row>
    <row r="3" customFormat="false" ht="34.5" hidden="false" customHeight="true" outlineLevel="0" collapsed="false">
      <c r="A3" s="20" t="s">
        <v>52</v>
      </c>
      <c r="B3" s="18" t="n">
        <v>10</v>
      </c>
      <c r="C3" s="18" t="n">
        <v>10</v>
      </c>
      <c r="D3" s="18" t="s">
        <v>85</v>
      </c>
      <c r="E3" s="18" t="s">
        <v>88</v>
      </c>
    </row>
    <row r="4" customFormat="false" ht="23.25" hidden="false" customHeight="true" outlineLevel="0" collapsed="false">
      <c r="A4" s="20" t="s">
        <v>52</v>
      </c>
      <c r="B4" s="18" t="n">
        <v>11</v>
      </c>
      <c r="C4" s="18" t="n">
        <v>11</v>
      </c>
      <c r="D4" s="18" t="s">
        <v>89</v>
      </c>
      <c r="E4" s="18" t="s">
        <v>92</v>
      </c>
    </row>
    <row r="5" customFormat="false" ht="15" hidden="false" customHeight="true" outlineLevel="0" collapsed="false">
      <c r="A5" s="20" t="s">
        <v>52</v>
      </c>
      <c r="B5" s="18" t="n">
        <v>13</v>
      </c>
      <c r="C5" s="18" t="n">
        <v>13</v>
      </c>
      <c r="D5" s="18" t="s">
        <v>97</v>
      </c>
      <c r="E5" s="18" t="s">
        <v>100</v>
      </c>
    </row>
    <row r="6" customFormat="false" ht="23.25" hidden="false" customHeight="true" outlineLevel="0" collapsed="false">
      <c r="A6" s="20" t="s">
        <v>101</v>
      </c>
      <c r="B6" s="18" t="n">
        <v>2</v>
      </c>
      <c r="C6" s="18" t="n">
        <v>15</v>
      </c>
      <c r="D6" s="18" t="s">
        <v>104</v>
      </c>
      <c r="E6" s="18" t="s">
        <v>107</v>
      </c>
    </row>
    <row r="7" customFormat="false" ht="15" hidden="false" customHeight="true" outlineLevel="0" collapsed="false">
      <c r="A7" s="20" t="s">
        <v>101</v>
      </c>
      <c r="B7" s="18" t="n">
        <v>3</v>
      </c>
      <c r="C7" s="18" t="n">
        <v>16</v>
      </c>
      <c r="D7" s="18" t="s">
        <v>109</v>
      </c>
      <c r="E7" s="18" t="s">
        <v>113</v>
      </c>
    </row>
    <row r="8" customFormat="false" ht="15" hidden="false" customHeight="true" outlineLevel="0" collapsed="false">
      <c r="A8" s="20" t="s">
        <v>159</v>
      </c>
      <c r="B8" s="18" t="n">
        <v>7</v>
      </c>
      <c r="C8" s="18" t="n">
        <v>31</v>
      </c>
      <c r="D8" s="18" t="s">
        <v>187</v>
      </c>
      <c r="E8" s="18" t="s">
        <v>191</v>
      </c>
    </row>
    <row r="9" customFormat="false" ht="15" hidden="false" customHeight="true" outlineLevel="0" collapsed="false">
      <c r="A9" s="20" t="s">
        <v>159</v>
      </c>
      <c r="B9" s="18" t="n">
        <v>12</v>
      </c>
      <c r="C9" s="18" t="n">
        <v>36</v>
      </c>
      <c r="D9" s="18" t="s">
        <v>212</v>
      </c>
      <c r="E9" s="18" t="s">
        <v>107</v>
      </c>
    </row>
    <row r="10" customFormat="false" ht="23.25" hidden="false" customHeight="true" outlineLevel="0" collapsed="false">
      <c r="A10" s="20" t="s">
        <v>213</v>
      </c>
      <c r="B10" s="18" t="n">
        <v>4</v>
      </c>
      <c r="C10" s="18" t="n">
        <v>40</v>
      </c>
      <c r="D10" s="18" t="s">
        <v>225</v>
      </c>
      <c r="E10" s="18" t="s">
        <v>107</v>
      </c>
    </row>
    <row r="11" customFormat="false" ht="15" hidden="false" customHeight="true" outlineLevel="0" collapsed="false">
      <c r="A11" s="20" t="s">
        <v>252</v>
      </c>
      <c r="B11" s="18" t="n">
        <v>6</v>
      </c>
      <c r="C11" s="18" t="n">
        <v>51</v>
      </c>
      <c r="D11" s="18" t="s">
        <v>276</v>
      </c>
      <c r="E11" s="18" t="s">
        <v>107</v>
      </c>
    </row>
    <row r="12" customFormat="false" ht="23.25" hidden="false" customHeight="true" outlineLevel="0" collapsed="false">
      <c r="A12" s="20" t="s">
        <v>316</v>
      </c>
      <c r="B12" s="18" t="n">
        <v>6</v>
      </c>
      <c r="C12" s="18" t="n">
        <v>68</v>
      </c>
      <c r="D12" s="18" t="s">
        <v>338</v>
      </c>
      <c r="E12" s="18" t="s">
        <v>342</v>
      </c>
    </row>
    <row r="13" customFormat="false" ht="23.25" hidden="false" customHeight="true" outlineLevel="0" collapsed="false">
      <c r="A13" s="20" t="s">
        <v>316</v>
      </c>
      <c r="B13" s="18" t="n">
        <v>13</v>
      </c>
      <c r="C13" s="18" t="n">
        <v>75</v>
      </c>
      <c r="D13" s="18" t="s">
        <v>338</v>
      </c>
      <c r="E13" s="18" t="s">
        <v>3012</v>
      </c>
    </row>
    <row r="14" customFormat="false" ht="15" hidden="false" customHeight="true" outlineLevel="0" collapsed="false">
      <c r="A14" s="20" t="s">
        <v>410</v>
      </c>
      <c r="B14" s="18" t="n">
        <v>22</v>
      </c>
      <c r="C14" s="18" t="n">
        <v>109</v>
      </c>
      <c r="D14" s="18" t="s">
        <v>487</v>
      </c>
      <c r="E14" s="18" t="s">
        <v>3013</v>
      </c>
    </row>
    <row r="15" customFormat="false" ht="23.25" hidden="false" customHeight="true" outlineLevel="0" collapsed="false">
      <c r="A15" s="20" t="s">
        <v>527</v>
      </c>
      <c r="B15" s="18" t="n">
        <v>86</v>
      </c>
      <c r="C15" s="18" t="n">
        <v>204</v>
      </c>
      <c r="D15" s="18" t="s">
        <v>649</v>
      </c>
      <c r="E15" s="18" t="s">
        <v>734</v>
      </c>
    </row>
    <row r="16" customFormat="false" ht="23.25" hidden="false" customHeight="true" outlineLevel="0" collapsed="false">
      <c r="A16" s="20" t="s">
        <v>527</v>
      </c>
      <c r="B16" s="18" t="n">
        <v>91</v>
      </c>
      <c r="C16" s="18" t="n">
        <v>209</v>
      </c>
      <c r="D16" s="18" t="s">
        <v>649</v>
      </c>
      <c r="E16" s="18" t="s">
        <v>747</v>
      </c>
    </row>
    <row r="17" customFormat="false" ht="15" hidden="false" customHeight="true" outlineLevel="0" collapsed="false">
      <c r="A17" s="20" t="s">
        <v>774</v>
      </c>
      <c r="B17" s="18" t="n">
        <v>2</v>
      </c>
      <c r="C17" s="18" t="n">
        <v>220</v>
      </c>
      <c r="D17" s="18" t="s">
        <v>776</v>
      </c>
      <c r="E17" s="18" t="s">
        <v>777</v>
      </c>
    </row>
    <row r="18" customFormat="false" ht="15" hidden="false" customHeight="true" outlineLevel="0" collapsed="false">
      <c r="A18" s="20" t="s">
        <v>774</v>
      </c>
      <c r="B18" s="18" t="n">
        <v>5</v>
      </c>
      <c r="C18" s="18" t="n">
        <v>223</v>
      </c>
      <c r="D18" s="18" t="s">
        <v>787</v>
      </c>
      <c r="E18" s="18" t="s">
        <v>3014</v>
      </c>
    </row>
    <row r="19" customFormat="false" ht="23.25" hidden="false" customHeight="true" outlineLevel="0" collapsed="false">
      <c r="A19" s="20" t="s">
        <v>774</v>
      </c>
      <c r="B19" s="18" t="n">
        <v>12</v>
      </c>
      <c r="C19" s="18" t="n">
        <v>230</v>
      </c>
      <c r="D19" s="18" t="s">
        <v>802</v>
      </c>
      <c r="E19" s="18" t="s">
        <v>3015</v>
      </c>
    </row>
    <row r="20" customFormat="false" ht="45.75" hidden="false" customHeight="true" outlineLevel="0" collapsed="false">
      <c r="A20" s="20" t="s">
        <v>774</v>
      </c>
      <c r="B20" s="18" t="n">
        <v>20</v>
      </c>
      <c r="C20" s="18" t="n">
        <v>238</v>
      </c>
      <c r="D20" s="18" t="s">
        <v>820</v>
      </c>
      <c r="E20" s="18" t="s">
        <v>3016</v>
      </c>
    </row>
    <row r="21" customFormat="false" ht="23.25" hidden="false" customHeight="true" outlineLevel="0" collapsed="false">
      <c r="A21" s="20" t="s">
        <v>774</v>
      </c>
      <c r="B21" s="18" t="n">
        <v>34</v>
      </c>
      <c r="C21" s="18" t="n">
        <v>252</v>
      </c>
      <c r="D21" s="18" t="s">
        <v>841</v>
      </c>
      <c r="E21" s="18" t="s">
        <v>3017</v>
      </c>
    </row>
    <row r="22" customFormat="false" ht="23.25" hidden="false" customHeight="true" outlineLevel="0" collapsed="false">
      <c r="A22" s="20" t="s">
        <v>774</v>
      </c>
      <c r="B22" s="18" t="n">
        <v>37</v>
      </c>
      <c r="C22" s="18" t="n">
        <v>255</v>
      </c>
      <c r="D22" s="18" t="s">
        <v>866</v>
      </c>
      <c r="E22" s="18" t="s">
        <v>3018</v>
      </c>
    </row>
    <row r="23" customFormat="false" ht="23.25" hidden="false" customHeight="true" outlineLevel="0" collapsed="false">
      <c r="A23" s="20" t="s">
        <v>774</v>
      </c>
      <c r="B23" s="18" t="n">
        <v>40</v>
      </c>
      <c r="C23" s="18" t="n">
        <v>258</v>
      </c>
      <c r="D23" s="18" t="s">
        <v>874</v>
      </c>
      <c r="E23" s="18" t="s">
        <v>3019</v>
      </c>
    </row>
    <row r="24" customFormat="false" ht="15" hidden="false" customHeight="true" outlineLevel="0" collapsed="false">
      <c r="A24" s="20" t="s">
        <v>774</v>
      </c>
      <c r="B24" s="18" t="n">
        <v>50</v>
      </c>
      <c r="C24" s="18" t="n">
        <v>268</v>
      </c>
      <c r="D24" s="18" t="s">
        <v>902</v>
      </c>
      <c r="E24" s="18" t="s">
        <v>3020</v>
      </c>
    </row>
  </sheetData>
  <autoFilter ref="A1:E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2026-09-25T18:42:49Z</dcterms:created>
  <dc:creator>openpyxl</dc:creator>
  <dc:description/>
  <dc:language>en-US</dc:language>
  <cp:lastModifiedBy/>
  <dcterms:modified xsi:type="dcterms:W3CDTF">2026-09-29T14:55:15Z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